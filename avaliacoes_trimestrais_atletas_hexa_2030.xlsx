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3477ed820e40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letas" sheetId="1" r:id="R4f4d451fe7e247df"/>
    <x:sheet xmlns:r="http://schemas.openxmlformats.org/officeDocument/2006/relationships" name="Listas" sheetId="2" r:id="R520f6758756245de"/>
    <x:sheet xmlns:r="http://schemas.openxmlformats.org/officeDocument/2006/relationships" name="Avaliações Trimestrais" sheetId="3" r:id="Rd031489563a949b4"/>
    <x:sheet xmlns:r="http://schemas.openxmlformats.org/officeDocument/2006/relationships" name="Resumo Trimestral" sheetId="4" r:id="Re3a91ef2c2284239"/>
    <x:sheet xmlns:r="http://schemas.openxmlformats.org/officeDocument/2006/relationships" name="Dashboard" sheetId="5" r:id="R906b220918bd40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0.0%"/>
    <x:numFmt numFmtId="202" formatCode="0.0"/>
    <x:numFmt numFmtId="203" formatCode="dd/mm/yyyy"/>
    <x:numFmt numFmtId="204" formatCode="0"/>
  </x:numFmts>
  <x:fonts count="5">
    <x:font>
      <x:sz val="11"/>
      <x:name val="Carlito"/>
    </x:font>
    <x:font>
      <x:b/>
      <x:sz val="11"/>
      <x:color rgb="FFF8FAFC"/>
      <x:name val="Carlito"/>
    </x:font>
    <x:font>
      <x:b/>
      <x:sz val="20"/>
      <x:color rgb="FFEAB308"/>
      <x:name val="Carlito"/>
    </x:font>
    <x:font>
      <x:b/>
      <x:sz val="11"/>
      <x:name val="Carlito"/>
    </x:font>
    <x:font>
      <x:b/>
      <x:sz val="11"/>
      <x:color rgb="FF02061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020617"/>
      </x:patternFill>
    </x:fill>
    <x:fill>
      <x:patternFill patternType="solid">
        <x:fgColor rgb="FFE2E8F0"/>
      </x:patternFill>
    </x:fill>
    <x:fill>
      <x:patternFill patternType="solid">
        <x:fgColor rgb="FFF8FAFC"/>
      </x:patternFill>
    </x:fill>
    <x:fill>
      <x:patternFill patternType="solid">
        <x:fgColor rgb="FFF1F5F9"/>
      </x:patternFill>
    </x:fill>
    <x:fill>
      <x:patternFill patternType="solid">
        <x:fgColor rgb="FFFEF3C7"/>
      </x:patternFill>
    </x:fill>
    <x:fill>
      <x:patternFill patternType="solid">
        <x:fgColor rgb="FF0F172A"/>
      </x:patternFill>
    </x:fill>
    <x:fill>
      <x:patternFill patternType="solid">
        <x:fgColor rgb="FFFEF3C7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7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 applyAlignment="1">
      <x:alignment vertical="top" wrapText="1"/>
    </x:xf>
    <x:xf numFmtId="204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vertical="top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vertical="top"/>
    </x:xf>
    <x:xf numFmtId="0" fontId="0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horizontal="center" wrapText="1"/>
    </x:xf>
    <x:xf numFmtId="0" fontId="4" fillId="9" borderId="0" xfId="0" applyNumberFormat="1" applyFont="1" applyFill="1" applyBorder="1" applyAlignment="1">
      <x:alignment vertical="top"/>
    </x:xf>
    <x:xf numFmtId="0" fontId="4" fillId="9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0" fillId="10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EF4444"/>
      </x:font>
    </x:dxf>
    <x:dxf>
      <x:font>
        <x:b/>
        <x:color rgb="FF22C55E"/>
      </x:font>
    </x:dxf>
    <x:dxf>
      <x:font>
        <x:b/>
        <x:color rgb="FFEF4444"/>
      </x:font>
    </x:dxf>
    <x:dxf>
      <x:font>
        <x:b/>
        <x:color rgb="FF22C55E"/>
      </x:font>
    </x:dxf>
    <x:dxf>
      <x:font>
        <x:b/>
        <x:color rgb="FFEF4444"/>
      </x:font>
    </x:dxf>
    <x:dxf>
      <x:font>
        <x:b/>
        <x:color rgb="FF22C55E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9731c2ecb544e7" /><Relationship Type="http://schemas.openxmlformats.org/officeDocument/2006/relationships/theme" Target="/xl/theme/theme1.xml" Id="Re547a95aa92c4642" /><Relationship Type="http://schemas.openxmlformats.org/officeDocument/2006/relationships/sharedStrings" Target="/xl/sharedStrings.xml" Id="Rab6ba70759584123" /><Relationship Type="http://schemas.openxmlformats.org/officeDocument/2006/relationships/worksheet" Target="/xl/worksheets/sheet1.xml" Id="R4f4d451fe7e247df" /><Relationship Type="http://schemas.openxmlformats.org/officeDocument/2006/relationships/worksheet" Target="/xl/worksheets/sheet2.xml" Id="R520f6758756245de" /><Relationship Type="http://schemas.openxmlformats.org/officeDocument/2006/relationships/worksheet" Target="/xl/worksheets/sheet3.xml" Id="Rd031489563a949b4" /><Relationship Type="http://schemas.openxmlformats.org/officeDocument/2006/relationships/worksheet" Target="/xl/worksheets/sheet4.xml" Id="Re3a91ef2c2284239" /><Relationship Type="http://schemas.openxmlformats.org/officeDocument/2006/relationships/worksheet" Target="/xl/worksheets/sheet5.xml" Id="R906b220918bd40d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1f2f537d6be468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Evolução trimestral: capacidade atual e potencial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Média da capacidade atual</c:v>
          </c:tx>
          <c:cat>
            <c:strRef>
              <c:f>'Resumo Trimestral'!$B$2:$B$21</c:f>
              <c:strCache>
                <c:ptCount val="0"/>
              </c:strCache>
            </c:strRef>
          </c:cat>
          <c:val>
            <c:numRef>
              <c:f>'Resumo Trimestral'!$C$2:$C$21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Média do potencial</c:v>
          </c:tx>
          <c:cat>
            <c:strRef>
              <c:f>'Resumo Trimestral'!$B$2:$B$21</c:f>
              <c:strCache>
                <c:ptCount val="0"/>
              </c:strCache>
            </c:strRef>
          </c:cat>
          <c:val>
            <c:numRef>
              <c:f>'Resumo Trimestral'!$D$2:$D$21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Margem média de evolução</c:v>
          </c:tx>
          <c:cat>
            <c:strRef>
              <c:f>'Resumo Trimestral'!$B$2:$B$21</c:f>
              <c:strCache>
                <c:ptCount val="0"/>
              </c:strCache>
            </c:strRef>
          </c:cat>
          <c:val>
            <c:numRef>
              <c:f>'Resumo Trimestral'!$E$2:$E$21</c:f>
              <c:numCache>
                <c:formatCode>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f2f537d6be468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tletasTable" displayName="AtletasTable" ref="A1:AH62" headerRowCount="1">
  <x:tableColumns count="34">
    <x:tableColumn id="1" name="ID / Nome"/>
    <x:tableColumn id="2" name="Nome completo"/>
    <x:tableColumn id="3" name="Posição principal"/>
    <x:tableColumn id="4" name="Posições secundárias"/>
    <x:tableColumn id="5" name="Clube atual"/>
    <x:tableColumn id="6" name="Grupo editorial"/>
    <x:tableColumn id="7" name="Tipo legado (não usar)"/>
    <x:tableColumn id="8" name="Idade em 2026"/>
    <x:tableColumn id="9" name="Idade projetada em 2030"/>
    <x:tableColumn id="10" name="Nota Vini atual"/>
    <x:tableColumn id="11" name="Nota Beto atual"/>
    <x:tableColumn id="12" name="Média editorial"/>
    <x:tableColumn id="13" name="Pontos fortes"/>
    <x:tableColumn id="14" name="Pontos fracos"/>
    <x:tableColumn id="15" name="Histórico das conversas"/>
    <x:tableColumn id="16" name="Nascimento"/>
    <x:tableColumn id="17" name="Naturalidade"/>
    <x:tableColumn id="18" name="Altura (m)"/>
    <x:tableColumn id="19" name="Pé preferencial"/>
    <x:tableColumn id="20" name="Nacionalidades"/>
    <x:tableColumn id="21" name="Empresário"/>
    <x:tableColumn id="22" name="No clube desde"/>
    <x:tableColumn id="23" name="Contrato até"/>
    <x:tableColumn id="24" name="Opção de contrato"/>
    <x:tableColumn id="25" name="Última renovação"/>
    <x:tableColumn id="26" name="Equipador"/>
    <x:tableColumn id="27" name="Posição informada por fonte externa"/>
    <x:tableColumn id="28" name="Posições secundárias externas"/>
    <x:tableColumn id="29" name="Valor atual (M€)"/>
    <x:tableColumn id="30" name="Maior valor da carreira (M€)"/>
    <x:tableColumn id="31" name="% do pico histórico"/>
    <x:tableColumn id="32" name="Diferença para o pico (M€)"/>
    <x:tableColumn id="33" name="Data do maior valor"/>
    <x:tableColumn id="34" name="Última atualização externa"/>
  </x:tableColumns>
  <x:tableStyleInfo name="TableStyleMedium2" showRowStripes="1"/>
</x:table>
</file>

<file path=xl/tables/table2.xml><?xml version="1.0" encoding="utf-8"?>
<x:table xmlns:x="http://schemas.openxmlformats.org/spreadsheetml/2006/main" id="2" name="AvaliacoesTable" displayName="AvaliacoesTable" ref="A1:T1221" headerRowCount="1">
  <x:tableColumns count="20">
    <x:tableColumn id="1" name="Atleta"/>
    <x:tableColumn id="2" name="Ano"/>
    <x:tableColumn id="3" name="Trimestre"/>
    <x:tableColumn id="4" name="Data de referência"/>
    <x:tableColumn id="5" name="Posição"/>
    <x:tableColumn id="6" name="Clube"/>
    <x:tableColumn id="7" name="Capacidade atual — Vini"/>
    <x:tableColumn id="8" name="Potencial — Vini"/>
    <x:tableColumn id="9" name="Capacidade atual — Beto"/>
    <x:tableColumn id="10" name="Potencial — Beto"/>
    <x:tableColumn id="11" name="Média da capacidade atual"/>
    <x:tableColumn id="12" name="Média do potencial"/>
    <x:tableColumn id="13" name="Margem de evolução"/>
    <x:tableColumn id="14" name="Variação da capacidade atual vs. trimestre anterior"/>
    <x:tableColumn id="15" name="Status de condição"/>
    <x:tableColumn id="16" name="Jogos observados"/>
    <x:tableColumn id="17" name="Observações do Vini"/>
    <x:tableColumn id="18" name="Observações do Beto"/>
    <x:tableColumn id="19" name="Síntese da conversa Vini &amp; Beto"/>
    <x:tableColumn id="20" name="Próxima ação / ponto de atenção"/>
  </x:tableColumns>
  <x:tableStyleInfo name="TableStyleMedium2" showRowStripes="1"/>
</x:table>
</file>

<file path=xl/tables/table3.xml><?xml version="1.0" encoding="utf-8"?>
<x:table xmlns:x="http://schemas.openxmlformats.org/spreadsheetml/2006/main" id="3" name="ResumoTrimestralTable" displayName="ResumoTrimestralTable" ref="A1:H21" headerRowCount="1">
  <x:tableColumns count="8">
    <x:tableColumn id="1" name="Ano"/>
    <x:tableColumn id="2" name="Trimestre"/>
    <x:tableColumn id="3" name="Média de performance"/>
    <x:tableColumn id="4" name="Média de condição"/>
    <x:tableColumn id="5" name="Nota geral média"/>
    <x:tableColumn id="6" name="Avaliações preenchidas"/>
    <x:tableColumn id="7" name="Atletas com nota geral"/>
    <x:tableColumn id="8" name="% de cobertur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c1ba84ba3a4c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f917a76673b42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d319b9b198b74bf3" /><Relationship Type="http://schemas.openxmlformats.org/officeDocument/2006/relationships/table" Target="/xl/tables/table3.xml" Id="R50969e2f86d54b29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0" hidden="0" customWidth="1"/>
    <x:col min="3" max="3" width="20" hidden="0" customWidth="1"/>
    <x:col min="4" max="4" width="32" hidden="0" customWidth="1"/>
    <x:col min="5" max="5" width="25" hidden="0" customWidth="1"/>
    <x:col min="6" max="6" width="18" hidden="0" customWidth="1"/>
    <x:col min="7" max="7" width="20" hidden="0" customWidth="1"/>
    <x:col min="8" max="8" width="13" hidden="0" customWidth="1"/>
    <x:col min="9" max="9" width="16" hidden="0" customWidth="1"/>
    <x:col min="10" max="10" width="13" hidden="0" customWidth="1"/>
    <x:col min="11" max="11" width="13" hidden="0" customWidth="1"/>
    <x:col min="12" max="12" width="14" hidden="0" customWidth="1"/>
    <x:col min="13" max="13" width="38" hidden="0" customWidth="1"/>
    <x:col min="14" max="14" width="38" hidden="0" customWidth="1"/>
    <x:col min="15" max="15" width="46" hidden="0" customWidth="1"/>
    <x:col min="16" max="16" width="16" hidden="0" customWidth="1"/>
    <x:col min="17" max="17" width="18" hidden="0" customWidth="1"/>
    <x:col min="18" max="18" width="12" hidden="0" customWidth="1"/>
    <x:col min="19" max="19" width="14" hidden="0" customWidth="1"/>
    <x:col min="20" max="20" width="22" hidden="0" customWidth="1"/>
    <x:col min="21" max="21" width="24" hidden="0" customWidth="1"/>
    <x:col min="22" max="22" width="16" hidden="0" customWidth="1"/>
    <x:col min="23" max="23" width="16" hidden="0" customWidth="1"/>
    <x:col min="24" max="24" width="20" hidden="0" customWidth="1"/>
    <x:col min="25" max="25" width="16" hidden="0" customWidth="1"/>
    <x:col min="26" max="26" width="16" hidden="0" customWidth="1"/>
    <x:col min="27" max="27" width="30" hidden="0" customWidth="1"/>
    <x:col min="28" max="28" width="32" hidden="0" customWidth="1"/>
    <x:col min="29" max="29" width="16" hidden="0" customWidth="1"/>
    <x:col min="30" max="30" width="19" hidden="0" customWidth="1"/>
    <x:col min="31" max="31" width="17" hidden="0" customWidth="1"/>
    <x:col min="32" max="32" width="20" hidden="0" customWidth="1"/>
    <x:col min="33" max="33" width="18" hidden="0" customWidth="1"/>
    <x:col min="34" max="34" width="20" hidden="0" customWidth="1"/>
  </x:cols>
  <x:sheetData>
    <x:row r="1" ht="34" customHeight="1">
      <x:c r="A1" s="6" t="str">
        <x:v>ID / Nome</x:v>
      </x:c>
      <x:c r="B1" s="6" t="str">
        <x:v>Nome completo</x:v>
      </x:c>
      <x:c r="C1" s="6" t="str">
        <x:v>Posição principal</x:v>
      </x:c>
      <x:c r="D1" s="6" t="str">
        <x:v>Posições secundárias</x:v>
      </x:c>
      <x:c r="E1" s="6" t="str">
        <x:v>Clube atual</x:v>
      </x:c>
      <x:c r="F1" s="6" t="str">
        <x:v>Grupo editorial</x:v>
      </x:c>
      <x:c r="G1" s="6" t="str">
        <x:v>Tipo legado (não usar)</x:v>
      </x:c>
      <x:c r="H1" s="6" t="str">
        <x:v>Idade em 2026</x:v>
      </x:c>
      <x:c r="I1" s="6" t="str">
        <x:v>Idade projetada em 2030</x:v>
      </x:c>
      <x:c r="J1" s="6" t="str">
        <x:v>Nota Vini atual</x:v>
      </x:c>
      <x:c r="K1" s="6" t="str">
        <x:v>Nota Beto atual</x:v>
      </x:c>
      <x:c r="L1" s="6" t="str">
        <x:v>Média editorial</x:v>
      </x:c>
      <x:c r="M1" s="6" t="str">
        <x:v>Pontos fortes</x:v>
      </x:c>
      <x:c r="N1" s="6" t="str">
        <x:v>Pontos fracos</x:v>
      </x:c>
      <x:c r="O1" s="6" t="str">
        <x:v>Histórico das conversas</x:v>
      </x:c>
      <x:c r="P1" s="6" t="str">
        <x:v>Nascimento</x:v>
      </x:c>
      <x:c r="Q1" s="6" t="str">
        <x:v>Naturalidade</x:v>
      </x:c>
      <x:c r="R1" s="6" t="str">
        <x:v>Altura (m)</x:v>
      </x:c>
      <x:c r="S1" s="6" t="str">
        <x:v>Pé preferencial</x:v>
      </x:c>
      <x:c r="T1" s="6" t="str">
        <x:v>Nacionalidades</x:v>
      </x:c>
      <x:c r="U1" s="6" t="str">
        <x:v>Empresário</x:v>
      </x:c>
      <x:c r="V1" s="6" t="str">
        <x:v>No clube desde</x:v>
      </x:c>
      <x:c r="W1" s="6" t="str">
        <x:v>Contrato até</x:v>
      </x:c>
      <x:c r="X1" s="6" t="str">
        <x:v>Opção de contrato</x:v>
      </x:c>
      <x:c r="Y1" s="6" t="str">
        <x:v>Última renovação</x:v>
      </x:c>
      <x:c r="Z1" s="6" t="str">
        <x:v>Equipador</x:v>
      </x:c>
      <x:c r="AA1" s="6" t="str">
        <x:v>Posição informada por fonte externa</x:v>
      </x:c>
      <x:c r="AB1" s="6" t="str">
        <x:v>Posições secundárias externas</x:v>
      </x:c>
      <x:c r="AC1" s="6" t="str">
        <x:v>Valor atual (M€)</x:v>
      </x:c>
      <x:c r="AD1" s="6" t="str">
        <x:v>Maior valor da carreira (M€)</x:v>
      </x:c>
      <x:c r="AE1" s="6" t="str">
        <x:v>% do pico histórico</x:v>
      </x:c>
      <x:c r="AF1" s="6" t="str">
        <x:v>Diferença para o pico (M€)</x:v>
      </x:c>
      <x:c r="AG1" s="6" t="str">
        <x:v>Data do maior valor</x:v>
      </x:c>
      <x:c r="AH1" s="6" t="str">
        <x:v>Última atualização externa</x:v>
      </x:c>
    </x:row>
    <x:row r="2">
      <x:c r="A2" s="13" t="str">
        <x:v>Alisson</x:v>
      </x:c>
      <x:c r="B2" s="13" t="str">
        <x:v>Alisson Ramses Becker</x:v>
      </x:c>
      <x:c r="C2" s="13" t="str">
        <x:v>Goleiro</x:v>
      </x:c>
      <x:c r="D2" s="13" t="str"/>
      <x:c r="E2" s="13" t="str">
        <x:v>Liverpool FC</x:v>
      </x:c>
      <x:c r="F2" s="13" t="str">
        <x:v>Titulares</x:v>
      </x:c>
      <x:c r="G2" s="13" t="str">
        <x:v>Certeza Atual</x:v>
      </x:c>
      <x:c r="H2" s="16" t="n">
        <x:v>33</x:v>
      </x:c>
      <x:c r="I2" s="16" t="n">
        <x:v>37</x:v>
      </x:c>
      <x:c r="J2" s="16" t="n">
        <x:v>7</x:v>
      </x:c>
      <x:c r="K2" s="16" t="n">
        <x:v>7.5</x:v>
      </x:c>
      <x:c r="L2" s="16" t="n">
        <x:v>7.25</x:v>
      </x:c>
      <x:c r="M2" s="13" t="str">
        <x:v>Excelente posicionamento e carreira internacional sólida.</x:v>
      </x:c>
      <x:c r="N2" s="13" t="str">
        <x:v>Idade avançada para o planejamento de longo prazo de 2030.</x:v>
      </x:c>
      <x:c r="O2" s="13" t="str">
        <x:v>Vini prefere sua liderança experiente, enquanto Roberto defende transição rápida.</x:v>
      </x:c>
      <x:c r="P2" s="13" t="str">
        <x:v>02/10/1992</x:v>
      </x:c>
      <x:c r="Q2" s="13" t="str">
        <x:v>Novo Hamburgo, Brasil</x:v>
      </x:c>
      <x:c r="R2" s="16"/>
      <x:c r="S2" s="13" t="str">
        <x:v>Direito</x:v>
      </x:c>
      <x:c r="T2" s="13" t="str">
        <x:v>Brasil</x:v>
      </x:c>
      <x:c r="U2" s="13" t="str">
        <x:v>NWS - Neis World Sports</x:v>
      </x:c>
      <x:c r="V2" s="13" t="str">
        <x:v>19/07/2018</x:v>
      </x:c>
      <x:c r="W2" s="13" t="str">
        <x:v>30/06/2027</x:v>
      </x:c>
      <x:c r="X2" s="13" t="str"/>
      <x:c r="Y2" s="13" t="str">
        <x:v>04/08/2021</x:v>
      </x:c>
      <x:c r="Z2" s="13" t="str">
        <x:v>Nike</x:v>
      </x:c>
      <x:c r="AA2" s="13" t="str">
        <x:v>Guarda-redes</x:v>
      </x:c>
      <x:c r="AB2" s="13" t="str"/>
      <x:c r="AC2" s="16" t="n">
        <x:v>15</x:v>
      </x:c>
      <x:c r="AD2" s="16" t="n">
        <x:v>90</x:v>
      </x:c>
      <x:c r="AE2" s="18" t="n">
        <x:v>0.16666666666666666</x:v>
      </x:c>
      <x:c r="AF2" s="16" t="n">
        <x:v>-75</x:v>
      </x:c>
      <x:c r="AG2" s="13" t="str">
        <x:v>09/12/2019</x:v>
      </x:c>
      <x:c r="AH2" s="13" t="str">
        <x:v>02/06/2026</x:v>
      </x:c>
    </x:row>
    <x:row r="3">
      <x:c r="A3" s="13" t="str">
        <x:v>Allan</x:v>
      </x:c>
      <x:c r="B3" s="13" t="str">
        <x:v>Allan Andrade Elias</x:v>
      </x:c>
      <x:c r="C3" s="13" t="str">
        <x:v>Ponta-direita</x:v>
      </x:c>
      <x:c r="D3" s="13" t="str">
        <x:v>Meia-armador | Mezzala direito</x:v>
      </x:c>
      <x:c r="E3" s="13" t="str">
        <x:v>SE Palmeiras</x:v>
      </x:c>
      <x:c r="F3" s="13" t="str">
        <x:v>Observação</x:v>
      </x:c>
      <x:c r="G3" s="13" t="str">
        <x:v>Promessa 2030</x:v>
      </x:c>
      <x:c r="H3" s="16" t="n">
        <x:v>22</x:v>
      </x:c>
      <x:c r="I3" s="16" t="n">
        <x:v>26</x:v>
      </x:c>
      <x:c r="J3" s="16" t="n">
        <x:v>7</x:v>
      </x:c>
      <x:c r="K3" s="16" t="n">
        <x:v>7.5</x:v>
      </x:c>
      <x:c r="L3" s="16" t="n">
        <x:v>7.25</x:v>
      </x:c>
      <x:c r="M3" s="13" t="str">
        <x:v>Dinâmica veloz na ponta e controle colado.</x:v>
      </x:c>
      <x:c r="N3" s="13" t="str"/>
      <x:c r="O3" s="13" t="str"/>
      <x:c r="P3" s="13" t="str">
        <x:v>19/04/2004</x:v>
      </x:c>
      <x:c r="Q3" s="13" t="str">
        <x:v>Florianópolis, Brasil</x:v>
      </x:c>
      <x:c r="R3" s="16"/>
      <x:c r="S3" s="13" t="str">
        <x:v>Esquerdo</x:v>
      </x:c>
      <x:c r="T3" s="13" t="str">
        <x:v>Brasil</x:v>
      </x:c>
      <x:c r="U3" s="13" t="str">
        <x:v>Talents Sports</x:v>
      </x:c>
      <x:c r="V3" s="13" t="str">
        <x:v>10/01/2025</x:v>
      </x:c>
      <x:c r="W3" s="13" t="str">
        <x:v>31/12/2029</x:v>
      </x:c>
      <x:c r="X3" s="13" t="str"/>
      <x:c r="Y3" s="13" t="str">
        <x:v>07/06/2025</x:v>
      </x:c>
      <x:c r="Z3" s="13" t="str"/>
      <x:c r="AA3" s="13" t="str">
        <x:v>Extremo Direito</x:v>
      </x:c>
      <x:c r="AB3" s="13" t="str">
        <x:v>Médio Ofensivo | Médio Direito</x:v>
      </x:c>
      <x:c r="AC3" s="16" t="n">
        <x:v>20</x:v>
      </x:c>
      <x:c r="AD3" s="16" t="n">
        <x:v>20</x:v>
      </x:c>
      <x:c r="AE3" s="18" t="n">
        <x:v>1</x:v>
      </x:c>
      <x:c r="AF3" s="16" t="n">
        <x:v>0</x:v>
      </x:c>
      <x:c r="AG3" s="13" t="str">
        <x:v>25/05/2026</x:v>
      </x:c>
      <x:c r="AH3" s="13" t="str">
        <x:v>25/05/2026</x:v>
      </x:c>
    </x:row>
    <x:row r="4">
      <x:c r="A4" s="13" t="str">
        <x:v>Andrey Santos</x:v>
      </x:c>
      <x:c r="B4" s="13" t="str">
        <x:v>Andrey Nascimento dos Santos</x:v>
      </x:c>
      <x:c r="C4" s="13" t="str">
        <x:v>Volante</x:v>
      </x:c>
      <x:c r="D4" s="13" t="str">
        <x:v>Mezzala esquerdo | Mezzala direito | Lateral-esquerdo</x:v>
      </x:c>
      <x:c r="E4" s="13" t="str">
        <x:v>Manchester United FC</x:v>
      </x:c>
      <x:c r="F4" s="13" t="str">
        <x:v>Titulares</x:v>
      </x:c>
      <x:c r="G4" s="13" t="str">
        <x:v>Certeza Atual</x:v>
      </x:c>
      <x:c r="H4" s="16" t="n">
        <x:v>22</x:v>
      </x:c>
      <x:c r="I4" s="16" t="n">
        <x:v>26</x:v>
      </x:c>
      <x:c r="J4" s="16" t="n">
        <x:v>7.5</x:v>
      </x:c>
      <x:c r="K4" s="16" t="n">
        <x:v>8</x:v>
      </x:c>
      <x:c r="L4" s="16" t="n">
        <x:v>7.75</x:v>
      </x:c>
      <x:c r="M4" s="13" t="str">
        <x:v>Volante moderno de grande infiltração na área e pegada defensiva.</x:v>
      </x:c>
      <x:c r="N4" s="13" t="str">
        <x:v>Precisa de estabilidade técnica como titular absoluto na Europa.</x:v>
      </x:c>
      <x:c r="O4" s="13" t="str">
        <x:v>Escolhido para ser a grande engrenagem de sustentação do meio-campo brasileiro.</x:v>
      </x:c>
      <x:c r="P4" s="13" t="str">
        <x:v>03/05/2004</x:v>
      </x:c>
      <x:c r="Q4" s="13" t="str">
        <x:v>Rio de Janeiro, Brasil</x:v>
      </x:c>
      <x:c r="R4" s="16"/>
      <x:c r="S4" s="13" t="str">
        <x:v>Direito</x:v>
      </x:c>
      <x:c r="T4" s="13" t="str">
        <x:v>Brasil</x:v>
      </x:c>
      <x:c r="U4" s="13" t="str">
        <x:v>Bertolucci Sports</x:v>
      </x:c>
      <x:c r="V4" s="13" t="str">
        <x:v>13/07/2026</x:v>
      </x:c>
      <x:c r="W4" s="13" t="str">
        <x:v>30/06/2031</x:v>
      </x:c>
      <x:c r="X4" s="13" t="str">
        <x:v>Opção do clube por mais 1 ano</x:v>
      </x:c>
      <x:c r="Y4" s="13" t="str"/>
      <x:c r="Z4" s="13" t="str">
        <x:v>adidas</x:v>
      </x:c>
      <x:c r="AA4" s="13" t="str">
        <x:v>Médio Centro</x:v>
      </x:c>
      <x:c r="AB4" s="13" t="str">
        <x:v>Médio Defensivo</x:v>
      </x:c>
      <x:c r="AC4" s="16" t="n">
        <x:v>40</x:v>
      </x:c>
      <x:c r="AD4" s="16" t="n">
        <x:v>45</x:v>
      </x:c>
      <x:c r="AE4" s="18" t="n">
        <x:v>0.8888888888888888</x:v>
      </x:c>
      <x:c r="AF4" s="16" t="n">
        <x:v>-5</x:v>
      </x:c>
      <x:c r="AG4" s="13" t="str">
        <x:v>08/03/2026</x:v>
      </x:c>
      <x:c r="AH4" s="13" t="str">
        <x:v>02/06/2026</x:v>
      </x:c>
    </x:row>
    <x:row r="5">
      <x:c r="A5" s="13" t="str">
        <x:v>André</x:v>
      </x:c>
      <x:c r="B5" s="13" t="str">
        <x:v>André Trindade da Costa Neto</x:v>
      </x:c>
      <x:c r="C5" s="13" t="str">
        <x:v>Mezzala esquerdo</x:v>
      </x:c>
      <x:c r="D5" s="13" t="str">
        <x:v>Mezzala direito | Volante | Meia-esquerda</x:v>
      </x:c>
      <x:c r="E5" s="13" t="str">
        <x:v>Wolverhampton Wanderers</x:v>
      </x:c>
      <x:c r="F5" s="13" t="str">
        <x:v>Reservas</x:v>
      </x:c>
      <x:c r="G5" s="13" t="str">
        <x:v>Observação</x:v>
      </x:c>
      <x:c r="H5" s="16" t="n">
        <x:v>25</x:v>
      </x:c>
      <x:c r="I5" s="16" t="n">
        <x:v>29</x:v>
      </x:c>
      <x:c r="J5" s="16" t="n">
        <x:v>7.5</x:v>
      </x:c>
      <x:c r="K5" s="16" t="n">
        <x:v>7.5</x:v>
      </x:c>
      <x:c r="L5" s="16" t="n">
        <x:v>7.5</x:v>
      </x:c>
      <x:c r="M5" s="13" t="str"/>
      <x:c r="N5" s="13" t="str"/>
      <x:c r="O5" s="13" t="str"/>
      <x:c r="P5" s="13" t="str">
        <x:v>16/07/2001</x:v>
      </x:c>
      <x:c r="Q5" s="13" t="str">
        <x:v>Ibirataia, Brasil</x:v>
      </x:c>
      <x:c r="R5" s="16"/>
      <x:c r="S5" s="13" t="str">
        <x:v>Direito</x:v>
      </x:c>
      <x:c r="T5" s="13" t="str">
        <x:v>Brasil</x:v>
      </x:c>
      <x:c r="U5" s="13" t="str">
        <x:v>Carlos Leite</x:v>
      </x:c>
      <x:c r="V5" s="13" t="str">
        <x:v>30/08/2024</x:v>
      </x:c>
      <x:c r="W5" s="13" t="str">
        <x:v>30/06/2030</x:v>
      </x:c>
      <x:c r="X5" s="13" t="str"/>
      <x:c r="Y5" s="13" t="str">
        <x:v>22/05/2026</x:v>
      </x:c>
      <x:c r="Z5" s="13" t="str">
        <x:v>Nike</x:v>
      </x:c>
      <x:c r="AA5" s="13" t="str">
        <x:v>Médio Defensivo</x:v>
      </x:c>
      <x:c r="AB5" s="13" t="str">
        <x:v>Médio Centro</x:v>
      </x:c>
      <x:c r="AC5" s="16" t="n">
        <x:v>25</x:v>
      </x:c>
      <x:c r="AD5" s="16" t="n">
        <x:v>28</x:v>
      </x:c>
      <x:c r="AE5" s="18" t="n">
        <x:v>0.8928571428571429</x:v>
      </x:c>
      <x:c r="AF5" s="16" t="n">
        <x:v>-3</x:v>
      </x:c>
      <x:c r="AG5" s="13" t="str">
        <x:v>29/05/2025</x:v>
      </x:c>
      <x:c r="AH5" s="13" t="str">
        <x:v>02/06/2026</x:v>
      </x:c>
    </x:row>
    <x:row r="6">
      <x:c r="A6" s="13" t="str">
        <x:v>Antony</x:v>
      </x:c>
      <x:c r="B6" s="13" t="str">
        <x:v>Antony Matheus dos Santos</x:v>
      </x:c>
      <x:c r="C6" s="13" t="str">
        <x:v>Ponta-direita</x:v>
      </x:c>
      <x:c r="D6" s="13" t="str">
        <x:v>Ponta-esquerda</x:v>
      </x:c>
      <x:c r="E6" s="13" t="str">
        <x:v>Real Betis</x:v>
      </x:c>
      <x:c r="F6" s="13" t="str">
        <x:v>Observação</x:v>
      </x:c>
      <x:c r="G6" s="13" t="str">
        <x:v>Observação</x:v>
      </x:c>
      <x:c r="H6" s="16" t="n">
        <x:v>26</x:v>
      </x:c>
      <x:c r="I6" s="16" t="n">
        <x:v>30</x:v>
      </x:c>
      <x:c r="J6" s="16" t="n">
        <x:v>0</x:v>
      </x:c>
      <x:c r="K6" s="16" t="n">
        <x:v>0</x:v>
      </x:c>
      <x:c r="L6" s="16" t="n">
        <x:v>0</x:v>
      </x:c>
      <x:c r="M6" s="13" t="str"/>
      <x:c r="N6" s="13" t="str"/>
      <x:c r="O6" s="13" t="str"/>
      <x:c r="P6" s="13" t="str">
        <x:v>24/02/2000</x:v>
      </x:c>
      <x:c r="Q6" s="13" t="str">
        <x:v>São Paulo, Brasil</x:v>
      </x:c>
      <x:c r="R6" s="16"/>
      <x:c r="S6" s="13" t="str">
        <x:v>Esquerdo</x:v>
      </x:c>
      <x:c r="T6" s="13" t="str">
        <x:v>Brasil</x:v>
      </x:c>
      <x:c r="U6" s="13" t="str">
        <x:v>4ComM</x:v>
      </x:c>
      <x:c r="V6" s="13" t="str">
        <x:v>01/09/2025</x:v>
      </x:c>
      <x:c r="W6" s="13" t="str">
        <x:v>30/06/2030</x:v>
      </x:c>
      <x:c r="X6" s="13" t="str"/>
      <x:c r="Y6" s="13" t="str"/>
      <x:c r="Z6" s="13" t="str">
        <x:v>Puma</x:v>
      </x:c>
      <x:c r="AA6" s="13" t="str">
        <x:v>Extremo Direito</x:v>
      </x:c>
      <x:c r="AB6" s="13" t="str">
        <x:v>Extremo Esquerdo</x:v>
      </x:c>
      <x:c r="AC6" s="16" t="n">
        <x:v>40</x:v>
      </x:c>
      <x:c r="AD6" s="16" t="n">
        <x:v>75</x:v>
      </x:c>
      <x:c r="AE6" s="18" t="n">
        <x:v>0.5333333333333333</x:v>
      </x:c>
      <x:c r="AF6" s="16" t="n">
        <x:v>-35</x:v>
      </x:c>
      <x:c r="AG6" s="13" t="str">
        <x:v>14/09/2022</x:v>
      </x:c>
      <x:c r="AH6" s="13" t="str">
        <x:v>04/06/2026</x:v>
      </x:c>
    </x:row>
    <x:row r="7">
      <x:c r="A7" s="13" t="str">
        <x:v>Brazão</x:v>
      </x:c>
      <x:c r="B7" s="13" t="str">
        <x:v>Gabriel Nascimento Resende Brazão</x:v>
      </x:c>
      <x:c r="C7" s="13" t="str">
        <x:v>Goleiro</x:v>
      </x:c>
      <x:c r="D7" s="13" t="str"/>
      <x:c r="E7" s="13" t="str">
        <x:v>Santos FC</x:v>
      </x:c>
      <x:c r="F7" s="13" t="str">
        <x:v>Reservas</x:v>
      </x:c>
      <x:c r="G7" s="13" t="str">
        <x:v>Promessa 2030</x:v>
      </x:c>
      <x:c r="H7" s="16" t="n">
        <x:v>25</x:v>
      </x:c>
      <x:c r="I7" s="16" t="n">
        <x:v>29</x:v>
      </x:c>
      <x:c r="J7" s="16" t="n">
        <x:v>7.5</x:v>
      </x:c>
      <x:c r="K7" s="16" t="n">
        <x:v>7.5</x:v>
      </x:c>
      <x:c r="L7" s="16" t="n">
        <x:v>7.5</x:v>
      </x:c>
      <x:c r="M7" s="13" t="str">
        <x:v>Físico privilegiado e excelente potencial sob as traves.</x:v>
      </x:c>
      <x:c r="N7" s="13" t="str">
        <x:v>Necessita de mais testes sob extrema pressão tática.</x:v>
      </x:c>
      <x:c r="O7" s="13" t="str">
        <x:v>Ambos concordam que ele reúne totais condições de disputar a titularidade.</x:v>
      </x:c>
      <x:c r="P7" s="13" t="str">
        <x:v>05/10/2000</x:v>
      </x:c>
      <x:c r="Q7" s="13" t="str">
        <x:v>Uberlândia, Brasil</x:v>
      </x:c>
      <x:c r="R7" s="16"/>
      <x:c r="S7" s="13" t="str">
        <x:v>Direito</x:v>
      </x:c>
      <x:c r="T7" s="13" t="str">
        <x:v>Brasil</x:v>
      </x:c>
      <x:c r="U7" s="13" t="str">
        <x:v>Bertolucci Sports</x:v>
      </x:c>
      <x:c r="V7" s="13" t="str">
        <x:v>26/02/2024</x:v>
      </x:c>
      <x:c r="W7" s="13" t="str">
        <x:v>31/12/2028</x:v>
      </x:c>
      <x:c r="X7" s="13" t="str"/>
      <x:c r="Y7" s="13" t="str">
        <x:v>23/11/2024</x:v>
      </x:c>
      <x:c r="Z7" s="13" t="str">
        <x:v>Puma</x:v>
      </x:c>
      <x:c r="AA7" s="13" t="str">
        <x:v>Guarda-redes</x:v>
      </x:c>
      <x:c r="AB7" s="13" t="str"/>
      <x:c r="AC7" s="16" t="n">
        <x:v>12</x:v>
      </x:c>
      <x:c r="AD7" s="16" t="n">
        <x:v>12</x:v>
      </x:c>
      <x:c r="AE7" s="18" t="n">
        <x:v>1</x:v>
      </x:c>
      <x:c r="AF7" s="16" t="n">
        <x:v>0</x:v>
      </x:c>
      <x:c r="AG7" s="13" t="str">
        <x:v>11/03/2026</x:v>
      </x:c>
      <x:c r="AH7" s="13" t="str">
        <x:v>25/05/2026</x:v>
      </x:c>
    </x:row>
    <x:row r="8">
      <x:c r="A8" s="13" t="str">
        <x:v>Breno Bidon</x:v>
      </x:c>
      <x:c r="B8" s="13" t="str">
        <x:v>Breno de Souza Bidon</x:v>
      </x:c>
      <x:c r="C8" s="13" t="str">
        <x:v>Mezzala esquerdo</x:v>
      </x:c>
      <x:c r="D8" s="13" t="str">
        <x:v>Mezzala direito | Volante | Meia-armador</x:v>
      </x:c>
      <x:c r="E8" s="13" t="str">
        <x:v>SC Corinthians</x:v>
      </x:c>
      <x:c r="F8" s="13" t="str">
        <x:v>Reservas</x:v>
      </x:c>
      <x:c r="G8" s="13" t="str">
        <x:v>Promessa 2030</x:v>
      </x:c>
      <x:c r="H8" s="16" t="n">
        <x:v>21</x:v>
      </x:c>
      <x:c r="I8" s="16" t="n">
        <x:v>25</x:v>
      </x:c>
      <x:c r="J8" s="16" t="n">
        <x:v>7</x:v>
      </x:c>
      <x:c r="K8" s="16" t="n">
        <x:v>8</x:v>
      </x:c>
      <x:c r="L8" s="16" t="n">
        <x:v>7.5</x:v>
      </x:c>
      <x:c r="M8" s="13" t="str">
        <x:v>Controle refinado da bola e estilo tático clássico brasileiro.</x:v>
      </x:c>
      <x:c r="N8" s="13" t="str">
        <x:v>Necessita adquirir maior massa física e experiência tática europeia.</x:v>
      </x:c>
      <x:c r="O8" s="13" t="str">
        <x:v>Identificado como potencial herdeiro técnico para as próximas competições.</x:v>
      </x:c>
      <x:c r="P8" s="13" t="str">
        <x:v>20/02/2005</x:v>
      </x:c>
      <x:c r="Q8" s="13" t="str">
        <x:v>São Paulo, Brasil</x:v>
      </x:c>
      <x:c r="R8" s="16"/>
      <x:c r="S8" s="13" t="str">
        <x:v>Esquerdo</x:v>
      </x:c>
      <x:c r="T8" s="13" t="str">
        <x:v>Brasil | Itália</x:v>
      </x:c>
      <x:c r="U8" s="13" t="str">
        <x:v>Dodici Sports BR</x:v>
      </x:c>
      <x:c r="V8" s="13" t="str">
        <x:v>01/03/2024</x:v>
      </x:c>
      <x:c r="W8" s="13" t="str">
        <x:v>31/12/2029</x:v>
      </x:c>
      <x:c r="X8" s="13" t="str"/>
      <x:c r="Y8" s="13" t="str">
        <x:v>06/01/2025</x:v>
      </x:c>
      <x:c r="Z8" s="13" t="str"/>
      <x:c r="AA8" s="13" t="str">
        <x:v>Médio Centro</x:v>
      </x:c>
      <x:c r="AB8" s="13" t="str">
        <x:v>Médio Ofensivo | Médio Defensivo</x:v>
      </x:c>
      <x:c r="AC8" s="16" t="n">
        <x:v>22</x:v>
      </x:c>
      <x:c r="AD8" s="16" t="n">
        <x:v>22</x:v>
      </x:c>
      <x:c r="AE8" s="18" t="n">
        <x:v>1</x:v>
      </x:c>
      <x:c r="AF8" s="16" t="n">
        <x:v>0</x:v>
      </x:c>
      <x:c r="AG8" s="13" t="str">
        <x:v>11/06/2026</x:v>
      </x:c>
      <x:c r="AH8" s="13" t="str">
        <x:v>25/05/2026</x:v>
      </x:c>
    </x:row>
    <x:row r="9">
      <x:c r="A9" s="13" t="str">
        <x:v>Bruno Guimarães</x:v>
      </x:c>
      <x:c r="B9" s="13" t="str">
        <x:v>Bruno Guimarães Rodrigues Moura</x:v>
      </x:c>
      <x:c r="C9" s="13" t="str">
        <x:v>Mezzala esquerdo</x:v>
      </x:c>
      <x:c r="D9" s="13" t="str">
        <x:v>Mezzala direito | Volante</x:v>
      </x:c>
      <x:c r="E9" s="13" t="str">
        <x:v>Newcastle United</x:v>
      </x:c>
      <x:c r="F9" s="13" t="str">
        <x:v>Titulares</x:v>
      </x:c>
      <x:c r="G9" s="13" t="str">
        <x:v>Certeza Atual</x:v>
      </x:c>
      <x:c r="H9" s="16" t="n">
        <x:v>28</x:v>
      </x:c>
      <x:c r="I9" s="16" t="n">
        <x:v>32</x:v>
      </x:c>
      <x:c r="J9" s="16" t="n">
        <x:v>8</x:v>
      </x:c>
      <x:c r="K9" s="16" t="n">
        <x:v>8.5</x:v>
      </x:c>
      <x:c r="L9" s="16" t="n">
        <x:v>8.25</x:v>
      </x:c>
      <x:c r="M9" s="13" t="str">
        <x:v>Visão de jogo privilegiada e passes precisos que quebram linhas defensivas.</x:v>
      </x:c>
      <x:c r="N9" s="13" t="str">
        <x:v>Desgaste em partidas que exijam excessiva cobertura de campo.</x:v>
      </x:c>
      <x:c r="O9" s="13" t="str">
        <x:v>Considerado indispensável para ditar o ritmo de posse de bola do time.</x:v>
      </x:c>
      <x:c r="P9" s="13" t="str">
        <x:v>16/11/1997</x:v>
      </x:c>
      <x:c r="Q9" s="13" t="str">
        <x:v>Rio de Janeiro, Brasil</x:v>
      </x:c>
      <x:c r="R9" s="16"/>
      <x:c r="S9" s="13" t="str">
        <x:v>Direito</x:v>
      </x:c>
      <x:c r="T9" s="13" t="str">
        <x:v>Brasil | Espanha</x:v>
      </x:c>
      <x:c r="U9" s="13" t="str">
        <x:v>Bertolucci Sports</x:v>
      </x:c>
      <x:c r="V9" s="13" t="str">
        <x:v>30/01/2022</x:v>
      </x:c>
      <x:c r="W9" s="13" t="str">
        <x:v>30/06/2028</x:v>
      </x:c>
      <x:c r="X9" s="13" t="str"/>
      <x:c r="Y9" s="13" t="str">
        <x:v>07/10/2023</x:v>
      </x:c>
      <x:c r="Z9" s="13" t="str">
        <x:v>adidas</x:v>
      </x:c>
      <x:c r="AA9" s="13" t="str">
        <x:v>Médio Centro</x:v>
      </x:c>
      <x:c r="AB9" s="13" t="str">
        <x:v>Médio Defensivo</x:v>
      </x:c>
      <x:c r="AC9" s="16" t="n">
        <x:v>70</x:v>
      </x:c>
      <x:c r="AD9" s="16" t="n">
        <x:v>85</x:v>
      </x:c>
      <x:c r="AE9" s="18" t="n">
        <x:v>0.8235294117647058</x:v>
      </x:c>
      <x:c r="AF9" s="16" t="n">
        <x:v>-15</x:v>
      </x:c>
      <x:c r="AG9" s="13" t="str">
        <x:v>08/10/2023</x:v>
      </x:c>
      <x:c r="AH9" s="13" t="str">
        <x:v>02/06/2026</x:v>
      </x:c>
    </x:row>
    <x:row r="10">
      <x:c r="A10" s="13" t="str">
        <x:v>Carlos Miguel</x:v>
      </x:c>
      <x:c r="B10" s="13" t="str">
        <x:v>Carlos Miguel dos Santos Pereira</x:v>
      </x:c>
      <x:c r="C10" s="13" t="str">
        <x:v>Goleiro</x:v>
      </x:c>
      <x:c r="D10" s="13" t="str"/>
      <x:c r="E10" s="13" t="str">
        <x:v>SE Palmeiras</x:v>
      </x:c>
      <x:c r="F10" s="13" t="str">
        <x:v>Observação</x:v>
      </x:c>
      <x:c r="G10" s="13" t="str">
        <x:v>Certeza Atual</x:v>
      </x:c>
      <x:c r="H10" s="16" t="n">
        <x:v>27</x:v>
      </x:c>
      <x:c r="I10" s="16" t="n">
        <x:v>31</x:v>
      </x:c>
      <x:c r="J10" s="16" t="n">
        <x:v>7</x:v>
      </x:c>
      <x:c r="K10" s="16" t="n">
        <x:v>7</x:v>
      </x:c>
      <x:c r="L10" s="16" t="n">
        <x:v>7</x:v>
      </x:c>
      <x:c r="M10" s="13" t="str"/>
      <x:c r="N10" s="13" t="str"/>
      <x:c r="O10" s="13" t="str"/>
      <x:c r="P10" s="13" t="str">
        <x:v>09/10/1998</x:v>
      </x:c>
      <x:c r="Q10" s="13" t="str">
        <x:v>Rio das Ostras, Brasil</x:v>
      </x:c>
      <x:c r="R10" s="16"/>
      <x:c r="S10" s="13" t="str">
        <x:v>Esquerdo</x:v>
      </x:c>
      <x:c r="T10" s="13" t="str">
        <x:v>Brasil</x:v>
      </x:c>
      <x:c r="U10" s="13" t="str">
        <x:v>Bertolucci Sports</x:v>
      </x:c>
      <x:c r="V10" s="13" t="str">
        <x:v>19/08/2025</x:v>
      </x:c>
      <x:c r="W10" s="13" t="str">
        <x:v>31/07/2030</x:v>
      </x:c>
      <x:c r="X10" s="13" t="str"/>
      <x:c r="Y10" s="13" t="str"/>
      <x:c r="Z10" s="13" t="str">
        <x:v>Nike</x:v>
      </x:c>
      <x:c r="AA10" s="13" t="str">
        <x:v>Guarda-redes</x:v>
      </x:c>
      <x:c r="AB10" s="13" t="str"/>
      <x:c r="AC10" s="16" t="n">
        <x:v>7</x:v>
      </x:c>
      <x:c r="AD10" s="16" t="n">
        <x:v>7</x:v>
      </x:c>
      <x:c r="AE10" s="18" t="n">
        <x:v>1</x:v>
      </x:c>
      <x:c r="AF10" s="16" t="n">
        <x:v>0</x:v>
      </x:c>
      <x:c r="AG10" s="13" t="str">
        <x:v>25/05/2026</x:v>
      </x:c>
      <x:c r="AH10" s="13" t="str">
        <x:v>25/05/2026</x:v>
      </x:c>
    </x:row>
    <x:row r="11">
      <x:c r="A11" s="13" t="str">
        <x:v>Danilo</x:v>
      </x:c>
      <x:c r="B11" s="13" t="str">
        <x:v>Danilo dos Santos de Oliveira</x:v>
      </x:c>
      <x:c r="C11" s="13" t="str">
        <x:v>Volante</x:v>
      </x:c>
      <x:c r="D11" s="13" t="str">
        <x:v>Mezzala direito | Mezzala esquerdo</x:v>
      </x:c>
      <x:c r="E11" s="13" t="str">
        <x:v>Botafogo FR</x:v>
      </x:c>
      <x:c r="F11" s="13" t="str">
        <x:v>Observação</x:v>
      </x:c>
      <x:c r="G11" s="13" t="str">
        <x:v>Observação</x:v>
      </x:c>
      <x:c r="H11" s="16" t="n">
        <x:v>25</x:v>
      </x:c>
      <x:c r="I11" s="16" t="n">
        <x:v>29</x:v>
      </x:c>
      <x:c r="J11" s="16" t="n">
        <x:v>6.5</x:v>
      </x:c>
      <x:c r="K11" s="16" t="n">
        <x:v>7</x:v>
      </x:c>
      <x:c r="L11" s="16" t="n">
        <x:v>6.75</x:v>
      </x:c>
      <x:c r="M11" s="13" t="str"/>
      <x:c r="N11" s="13" t="str"/>
      <x:c r="O11" s="13" t="str"/>
      <x:c r="P11" s="13" t="str">
        <x:v>29/04/2001</x:v>
      </x:c>
      <x:c r="Q11" s="13" t="str">
        <x:v>Salvador, Brasil</x:v>
      </x:c>
      <x:c r="R11" s="16"/>
      <x:c r="S11" s="13" t="str">
        <x:v>Esquerdo</x:v>
      </x:c>
      <x:c r="T11" s="13" t="str">
        <x:v>Brasil</x:v>
      </x:c>
      <x:c r="U11" s="13" t="str">
        <x:v>Bertolucci Sports</x:v>
      </x:c>
      <x:c r="V11" s="13" t="str">
        <x:v>18/07/2025</x:v>
      </x:c>
      <x:c r="W11" s="13" t="str">
        <x:v>30/06/2029</x:v>
      </x:c>
      <x:c r="X11" s="13" t="str"/>
      <x:c r="Y11" s="13" t="str"/>
      <x:c r="Z11" s="13" t="str">
        <x:v>Nike</x:v>
      </x:c>
      <x:c r="AA11" s="13" t="str">
        <x:v>Médio Centro</x:v>
      </x:c>
      <x:c r="AB11" s="13" t="str">
        <x:v>Médio Defensivo | Médio Ofensivo</x:v>
      </x:c>
      <x:c r="AC11" s="16" t="n">
        <x:v>32</x:v>
      </x:c>
      <x:c r="AD11" s="16" t="n">
        <x:v>32</x:v>
      </x:c>
      <x:c r="AE11" s="18" t="n">
        <x:v>1</x:v>
      </x:c>
      <x:c r="AF11" s="16" t="n">
        <x:v>0</x:v>
      </x:c>
      <x:c r="AG11" s="13" t="str">
        <x:v>25/05/2026</x:v>
      </x:c>
      <x:c r="AH11" s="13" t="str">
        <x:v>25/05/2026</x:v>
      </x:c>
    </x:row>
    <x:row r="12">
      <x:c r="A12" s="13" t="str">
        <x:v>Denner</x:v>
      </x:c>
      <x:c r="B12" s="13" t="str"/>
      <x:c r="C12" s="13" t="str">
        <x:v>Lateral-esquerdo</x:v>
      </x:c>
      <x:c r="D12" s="13" t="str"/>
      <x:c r="E12" s="13" t="str">
        <x:v>Corinthians</x:v>
      </x:c>
      <x:c r="F12" s="13" t="str">
        <x:v>Reservas</x:v>
      </x:c>
      <x:c r="G12" s="13" t="str">
        <x:v>Promessa 2030</x:v>
      </x:c>
      <x:c r="H12" s="16" t="n">
        <x:v>18</x:v>
      </x:c>
      <x:c r="I12" s="16" t="n">
        <x:v>22</x:v>
      </x:c>
      <x:c r="J12" s="16" t="n">
        <x:v>7</x:v>
      </x:c>
      <x:c r="K12" s="16" t="n">
        <x:v>8</x:v>
      </x:c>
      <x:c r="L12" s="16" t="n">
        <x:v>7.5</x:v>
      </x:c>
      <x:c r="M12" s="13" t="str">
        <x:v>Capacidade técnica invejável e ótima leitura tática.</x:v>
      </x:c>
      <x:c r="N12" s="13" t="str">
        <x:v>Muito jovem, precisa ser lapidado no time principal profissional.</x:v>
      </x:c>
      <x:c r="O12" s="13" t="str">
        <x:v>Roberto projeta teto competitivo muito elevado, similar a estrelas globais.</x:v>
      </x:c>
      <x:c r="P12" s="13" t="str"/>
      <x:c r="Q12" s="13" t="str"/>
      <x:c r="R12" s="16"/>
      <x:c r="S12" s="13" t="str"/>
      <x:c r="T12" s="13" t="str"/>
      <x:c r="U12" s="13" t="str"/>
      <x:c r="V12" s="13" t="str"/>
      <x:c r="W12" s="13" t="str"/>
      <x:c r="X12" s="13" t="str"/>
      <x:c r="Y12" s="13" t="str"/>
      <x:c r="Z12" s="13" t="str"/>
      <x:c r="AA12" s="13" t="str"/>
      <x:c r="AB12" s="13" t="str"/>
      <x:c r="AC12" s="16"/>
      <x:c r="AD12" s="16"/>
      <x:c r="AE12" s="18"/>
      <x:c r="AF12" s="16"/>
      <x:c r="AG12" s="13" t="str"/>
      <x:c r="AH12" s="13" t="str"/>
    </x:row>
    <x:row r="13">
      <x:c r="A13" s="13" t="str">
        <x:v>Diego Callai</x:v>
      </x:c>
      <x:c r="B13" s="13" t="str">
        <x:v>Diego Callai Silva</x:v>
      </x:c>
      <x:c r="C13" s="13" t="str">
        <x:v>Goleiro</x:v>
      </x:c>
      <x:c r="D13" s="13" t="str"/>
      <x:c r="E13" s="13" t="str">
        <x:v>Sporting CP B</x:v>
      </x:c>
      <x:c r="F13" s="13" t="str">
        <x:v>Observação</x:v>
      </x:c>
      <x:c r="G13" s="13" t="str">
        <x:v>Observação</x:v>
      </x:c>
      <x:c r="H13" s="16" t="n">
        <x:v>21</x:v>
      </x:c>
      <x:c r="I13" s="16" t="n">
        <x:v>25</x:v>
      </x:c>
      <x:c r="J13" s="16" t="n">
        <x:v>6.5</x:v>
      </x:c>
      <x:c r="K13" s="16" t="n">
        <x:v>6.5</x:v>
      </x:c>
      <x:c r="L13" s="16" t="n">
        <x:v>6.5</x:v>
      </x:c>
      <x:c r="M13" s="13" t="str"/>
      <x:c r="N13" s="13" t="str"/>
      <x:c r="O13" s="13" t="str"/>
      <x:c r="P13" s="13" t="str">
        <x:v>18/07/2004</x:v>
      </x:c>
      <x:c r="Q13" s="13" t="str">
        <x:v>Caxias do Sul, Brasil</x:v>
      </x:c>
      <x:c r="R13" s="16"/>
      <x:c r="S13" s="13" t="str">
        <x:v>Direito</x:v>
      </x:c>
      <x:c r="T13" s="13" t="str">
        <x:v>Brasil | Portugal</x:v>
      </x:c>
      <x:c r="U13" s="13" t="str">
        <x:v>AS1</x:v>
      </x:c>
      <x:c r="V13" s="13" t="str">
        <x:v>01/01/2025</x:v>
      </x:c>
      <x:c r="W13" s="13" t="str">
        <x:v>30/06/2030</x:v>
      </x:c>
      <x:c r="X13" s="13" t="str"/>
      <x:c r="Y13" s="13" t="str"/>
      <x:c r="Z13" s="13" t="str"/>
      <x:c r="AA13" s="13" t="str">
        <x:v>Guarda-redes</x:v>
      </x:c>
      <x:c r="AB13" s="13" t="str"/>
      <x:c r="AC13" s="16" t="n">
        <x:v>1.5</x:v>
      </x:c>
      <x:c r="AD13" s="16" t="n">
        <x:v>1.5</x:v>
      </x:c>
      <x:c r="AE13" s="18" t="n">
        <x:v>1</x:v>
      </x:c>
      <x:c r="AF13" s="16" t="n">
        <x:v>0</x:v>
      </x:c>
      <x:c r="AG13" s="13" t="str">
        <x:v>23/06/2026</x:v>
      </x:c>
      <x:c r="AH13" s="13" t="str">
        <x:v>23/06/2026</x:v>
      </x:c>
    </x:row>
    <x:row r="14">
      <x:c r="A14" s="13" t="str">
        <x:v>Endrick</x:v>
      </x:c>
      <x:c r="B14" s="13" t="str">
        <x:v>Endrick Felipe Moreira de Sousa</x:v>
      </x:c>
      <x:c r="C14" s="13" t="str">
        <x:v>Centroavante</x:v>
      </x:c>
      <x:c r="D14" s="13" t="str">
        <x:v>Segundo atacante | Ponta-direita</x:v>
      </x:c>
      <x:c r="E14" s="13" t="str">
        <x:v>Real Madrid CF</x:v>
      </x:c>
      <x:c r="F14" s="13" t="str">
        <x:v>Titulares</x:v>
      </x:c>
      <x:c r="G14" s="13" t="str">
        <x:v>Certeza Atual</x:v>
      </x:c>
      <x:c r="H14" s="16" t="n">
        <x:v>19</x:v>
      </x:c>
      <x:c r="I14" s="16" t="n">
        <x:v>23</x:v>
      </x:c>
      <x:c r="J14" s="16" t="n">
        <x:v>8</x:v>
      </x:c>
      <x:c r="K14" s="16" t="n">
        <x:v>9</x:v>
      </x:c>
      <x:c r="L14" s="16" t="n">
        <x:v>8.5</x:v>
      </x:c>
      <x:c r="M14" s="13" t="str">
        <x:v>Explosão muscular fantástica, poder de chute e faro artilheiro.</x:v>
      </x:c>
      <x:c r="N14" s="13" t="str">
        <x:v>Necessita de minutagem constante em competições de elite.</x:v>
      </x:c>
      <x:c r="O14" s="13" t="str">
        <x:v>O centroavante titular absoluto projetado para liderar o ataque em 2030.</x:v>
      </x:c>
      <x:c r="P14" s="13" t="str">
        <x:v>21/07/2006</x:v>
      </x:c>
      <x:c r="Q14" s="13" t="str">
        <x:v>Taguatinga, Brasil</x:v>
      </x:c>
      <x:c r="R14" s="16"/>
      <x:c r="S14" s="13" t="str">
        <x:v>Esquerdo</x:v>
      </x:c>
      <x:c r="T14" s="13" t="str">
        <x:v>Brasil</x:v>
      </x:c>
      <x:c r="U14" s="13" t="str">
        <x:v>Roc Nation Sports</x:v>
      </x:c>
      <x:c r="V14" s="13" t="str">
        <x:v>21/07/2024</x:v>
      </x:c>
      <x:c r="W14" s="13" t="str">
        <x:v>30/06/2030</x:v>
      </x:c>
      <x:c r="X14" s="13" t="str"/>
      <x:c r="Y14" s="13" t="str"/>
      <x:c r="Z14" s="13" t="str">
        <x:v>New Balance</x:v>
      </x:c>
      <x:c r="AA14" s="13" t="str">
        <x:v>Ponta de Lança</x:v>
      </x:c>
      <x:c r="AB14" s="13" t="str">
        <x:v>Segundo Avançado | Extremo Direito</x:v>
      </x:c>
      <x:c r="AC14" s="16" t="n">
        <x:v>40</x:v>
      </x:c>
      <x:c r="AD14" s="16" t="n">
        <x:v>60</x:v>
      </x:c>
      <x:c r="AE14" s="18" t="n">
        <x:v>0.6666666666666666</x:v>
      </x:c>
      <x:c r="AF14" s="16" t="n">
        <x:v>-20</x:v>
      </x:c>
      <x:c r="AG14" s="13" t="str">
        <x:v>16/04/2024</x:v>
      </x:c>
      <x:c r="AH14" s="13" t="str">
        <x:v>31/05/2026</x:v>
      </x:c>
    </x:row>
    <x:row r="15">
      <x:c r="A15" s="13" t="str">
        <x:v>Estevão</x:v>
      </x:c>
      <x:c r="B15" s="13" t="str"/>
      <x:c r="C15" s="13" t="str">
        <x:v>Ponta-direita</x:v>
      </x:c>
      <x:c r="D15" s="13" t="str">
        <x:v>Meia-armador | Meia-direita</x:v>
      </x:c>
      <x:c r="E15" s="13" t="str">
        <x:v>Chelsea FC</x:v>
      </x:c>
      <x:c r="F15" s="13" t="str">
        <x:v>Titulares</x:v>
      </x:c>
      <x:c r="G15" s="13" t="str">
        <x:v>Promessa 2030</x:v>
      </x:c>
      <x:c r="H15" s="16" t="n">
        <x:v>19</x:v>
      </x:c>
      <x:c r="I15" s="16" t="n">
        <x:v>23</x:v>
      </x:c>
      <x:c r="J15" s="16" t="n">
        <x:v>9</x:v>
      </x:c>
      <x:c r="K15" s="16" t="n">
        <x:v>10</x:v>
      </x:c>
      <x:c r="L15" s="16" t="n">
        <x:v>9.5</x:v>
      </x:c>
      <x:c r="M15" s="13" t="str">
        <x:v>Capacidade de drible genial, mentalidade vencedora e criatividade extrema.</x:v>
      </x:c>
      <x:c r="N15" s="13" t="str">
        <x:v>Cuidados necessários com a carga física nesta transição inicial.</x:v>
      </x:c>
      <x:c r="O15" s="13" t="str">
        <x:v>Classificado com nota 10 por Roberto devido à sua genialidade sem precedentes.</x:v>
      </x:c>
      <x:c r="P15" s="13" t="str"/>
      <x:c r="Q15" s="13" t="str"/>
      <x:c r="R15" s="16"/>
      <x:c r="S15" s="13" t="str"/>
      <x:c r="T15" s="13" t="str"/>
      <x:c r="U15" s="13" t="str"/>
      <x:c r="V15" s="13" t="str"/>
      <x:c r="W15" s="13" t="str"/>
      <x:c r="X15" s="13" t="str"/>
      <x:c r="Y15" s="13" t="str"/>
      <x:c r="Z15" s="13" t="str"/>
      <x:c r="AA15" s="13" t="str"/>
      <x:c r="AB15" s="13" t="str"/>
      <x:c r="AC15" s="16"/>
      <x:c r="AD15" s="16"/>
      <x:c r="AE15" s="18"/>
      <x:c r="AF15" s="16"/>
      <x:c r="AG15" s="13" t="str"/>
      <x:c r="AH15" s="13" t="str"/>
    </x:row>
    <x:row r="16">
      <x:c r="A16" s="13" t="str">
        <x:v>Gabriel Magalhães</x:v>
      </x:c>
      <x:c r="B16" s="13" t="str"/>
      <x:c r="C16" s="13" t="str">
        <x:v>Zagueiro</x:v>
      </x:c>
      <x:c r="D16" s="13" t="str"/>
      <x:c r="E16" s="13" t="str">
        <x:v>FC Arsenal</x:v>
      </x:c>
      <x:c r="F16" s="13" t="str">
        <x:v>Titulares</x:v>
      </x:c>
      <x:c r="G16" s="13" t="str">
        <x:v>Certeza Atual</x:v>
      </x:c>
      <x:c r="H16" s="16" t="n">
        <x:v>28</x:v>
      </x:c>
      <x:c r="I16" s="16" t="n">
        <x:v>32</x:v>
      </x:c>
      <x:c r="J16" s="16" t="n">
        <x:v>9</x:v>
      </x:c>
      <x:c r="K16" s="16" t="n">
        <x:v>9</x:v>
      </x:c>
      <x:c r="L16" s="16" t="n">
        <x:v>9</x:v>
      </x:c>
      <x:c r="M16" s="13" t="str">
        <x:v>Combate aéreo imbatível, liderança nata e estabilidade de elite.</x:v>
      </x:c>
      <x:c r="N16" s="13" t="str">
        <x:v>Nenhum ponto fraco relevante apontado no ciclo tático.</x:v>
      </x:c>
      <x:c r="O16" s="13" t="str">
        <x:v>Dono absoluto da posição e grande líder da defesa brasileira.</x:v>
      </x:c>
      <x:c r="P16" s="13" t="str"/>
      <x:c r="Q16" s="13" t="str"/>
      <x:c r="R16" s="16"/>
      <x:c r="S16" s="13" t="str"/>
      <x:c r="T16" s="13" t="str"/>
      <x:c r="U16" s="13" t="str"/>
      <x:c r="V16" s="13" t="str"/>
      <x:c r="W16" s="13" t="str"/>
      <x:c r="X16" s="13" t="str"/>
      <x:c r="Y16" s="13" t="str"/>
      <x:c r="Z16" s="13" t="str"/>
      <x:c r="AA16" s="13" t="str"/>
      <x:c r="AB16" s="13" t="str"/>
      <x:c r="AC16" s="16"/>
      <x:c r="AD16" s="16"/>
      <x:c r="AE16" s="18"/>
      <x:c r="AF16" s="16"/>
      <x:c r="AG16" s="13" t="str"/>
      <x:c r="AH16" s="13" t="str"/>
    </x:row>
    <x:row r="17">
      <x:c r="A17" s="13" t="str">
        <x:v>Gabriel Martinelli</x:v>
      </x:c>
      <x:c r="B17" s="13" t="str"/>
      <x:c r="C17" s="13" t="str">
        <x:v>Ponta-esquerda</x:v>
      </x:c>
      <x:c r="D17" s="13" t="str">
        <x:v>Meia-armador | Mezzala esquerdo</x:v>
      </x:c>
      <x:c r="E17" s="13" t="str">
        <x:v>FC Arsenal</x:v>
      </x:c>
      <x:c r="F17" s="13" t="str">
        <x:v>Reservas</x:v>
      </x:c>
      <x:c r="G17" s="13" t="str">
        <x:v>Certeza Atual</x:v>
      </x:c>
      <x:c r="H17" s="16" t="n">
        <x:v>25</x:v>
      </x:c>
      <x:c r="I17" s="16" t="n">
        <x:v>29</x:v>
      </x:c>
      <x:c r="J17" s="16" t="n">
        <x:v>7.5</x:v>
      </x:c>
      <x:c r="K17" s="16" t="n">
        <x:v>8</x:v>
      </x:c>
      <x:c r="L17" s="16" t="n">
        <x:v>7.75</x:v>
      </x:c>
      <x:c r="M17" s="13" t="str">
        <x:v>Intensidade sem a bola, recomposição exemplar e poder de explosão.</x:v>
      </x:c>
      <x:c r="N17" s="13" t="str">
        <x:v>Menor refino técnico se comparado aos titulares da ponta.</x:v>
      </x:c>
      <x:c r="O17" s="13" t="str">
        <x:v>Roberto destaca sua competitividade tática incomparável no elenco.</x:v>
      </x:c>
      <x:c r="P17" s="13" t="str"/>
      <x:c r="Q17" s="13" t="str"/>
      <x:c r="R17" s="16"/>
      <x:c r="S17" s="13" t="str"/>
      <x:c r="T17" s="13" t="str"/>
      <x:c r="U17" s="13" t="str"/>
      <x:c r="V17" s="13" t="str"/>
      <x:c r="W17" s="13" t="str"/>
      <x:c r="X17" s="13" t="str"/>
      <x:c r="Y17" s="13" t="str"/>
      <x:c r="Z17" s="13" t="str"/>
      <x:c r="AA17" s="13" t="str"/>
      <x:c r="AB17" s="13" t="str"/>
      <x:c r="AC17" s="16"/>
      <x:c r="AD17" s="16"/>
      <x:c r="AE17" s="18"/>
      <x:c r="AF17" s="16"/>
      <x:c r="AG17" s="13" t="str"/>
      <x:c r="AH17" s="13" t="str"/>
    </x:row>
    <x:row r="18">
      <x:c r="A18" s="13" t="str">
        <x:v>Gabriel Mec</x:v>
      </x:c>
      <x:c r="B18" s="13" t="str"/>
      <x:c r="C18" s="13" t="str">
        <x:v>Meia-armador</x:v>
      </x:c>
      <x:c r="D18" s="13" t="str">
        <x:v>Ponta-esquerda | Segundo atacante</x:v>
      </x:c>
      <x:c r="E18" s="13" t="str">
        <x:v>Grêmio</x:v>
      </x:c>
      <x:c r="F18" s="13" t="str">
        <x:v>Observação</x:v>
      </x:c>
      <x:c r="G18" s="13" t="str">
        <x:v>Promessa 2030</x:v>
      </x:c>
      <x:c r="H18" s="16" t="n">
        <x:v>18</x:v>
      </x:c>
      <x:c r="I18" s="16" t="n">
        <x:v>22</x:v>
      </x:c>
      <x:c r="J18" s="16" t="n">
        <x:v>7.5</x:v>
      </x:c>
      <x:c r="K18" s="16" t="n">
        <x:v>7.5</x:v>
      </x:c>
      <x:c r="L18" s="16" t="n">
        <x:v>7.5</x:v>
      </x:c>
      <x:c r="M18" s="13" t="str">
        <x:v>Passe cirúrgico, criatividade acima da média e inteligência.</x:v>
      </x:c>
      <x:c r="N18" s="13" t="str">
        <x:v>Ainda em processo inicial de maturação física no esporte profissional.</x:v>
      </x:c>
      <x:c r="O18" s="13" t="str">
        <x:v>Vini acompanha de perto o garoto, vislumbrando um armador ideal para o futuro.</x:v>
      </x:c>
      <x:c r="P18" s="13" t="str"/>
      <x:c r="Q18" s="13" t="str"/>
      <x:c r="R18" s="16"/>
      <x:c r="S18" s="13" t="str"/>
      <x:c r="T18" s="13" t="str"/>
      <x:c r="U18" s="13" t="str"/>
      <x:c r="V18" s="13" t="str"/>
      <x:c r="W18" s="13" t="str"/>
      <x:c r="X18" s="13" t="str"/>
      <x:c r="Y18" s="13" t="str"/>
      <x:c r="Z18" s="13" t="str"/>
      <x:c r="AA18" s="13" t="str"/>
      <x:c r="AB18" s="13" t="str"/>
      <x:c r="AC18" s="16"/>
      <x:c r="AD18" s="16"/>
      <x:c r="AE18" s="18"/>
      <x:c r="AF18" s="16"/>
      <x:c r="AG18" s="13" t="str"/>
      <x:c r="AH18" s="13" t="str"/>
    </x:row>
    <x:row r="19">
      <x:c r="A19" s="13" t="str">
        <x:v>Guilherme Garutti</x:v>
      </x:c>
      <x:c r="B19" s="13" t="str"/>
      <x:c r="C19" s="13" t="str">
        <x:v>Zagueiro</x:v>
      </x:c>
      <x:c r="D19" s="13" t="str"/>
      <x:c r="E19" s="13" t="str">
        <x:v>ACSC FC Arges</x:v>
      </x:c>
      <x:c r="F19" s="13" t="str">
        <x:v>Observação</x:v>
      </x:c>
      <x:c r="G19" s="13" t="str">
        <x:v>Certeza Atual</x:v>
      </x:c>
      <x:c r="H19" s="16" t="n">
        <x:v>32</x:v>
      </x:c>
      <x:c r="I19" s="16" t="n">
        <x:v>36</x:v>
      </x:c>
      <x:c r="J19" s="16" t="n">
        <x:v>6</x:v>
      </x:c>
      <x:c r="K19" s="16" t="n">
        <x:v>6.5</x:v>
      </x:c>
      <x:c r="L19" s="16" t="n">
        <x:v>6.25</x:v>
      </x:c>
      <x:c r="M19" s="13" t="str"/>
      <x:c r="N19" s="13" t="str"/>
      <x:c r="O19" s="13" t="str"/>
      <x:c r="P19" s="13" t="str"/>
      <x:c r="Q19" s="13" t="str"/>
      <x:c r="R19" s="16"/>
      <x:c r="S19" s="13" t="str"/>
      <x:c r="T19" s="13" t="str"/>
      <x:c r="U19" s="13" t="str"/>
      <x:c r="V19" s="13" t="str"/>
      <x:c r="W19" s="13" t="str"/>
      <x:c r="X19" s="13" t="str"/>
      <x:c r="Y19" s="13" t="str"/>
      <x:c r="Z19" s="13" t="str"/>
      <x:c r="AA19" s="13" t="str"/>
      <x:c r="AB19" s="13" t="str"/>
      <x:c r="AC19" s="16"/>
      <x:c r="AD19" s="16"/>
      <x:c r="AE19" s="18"/>
      <x:c r="AF19" s="16"/>
      <x:c r="AG19" s="13" t="str"/>
      <x:c r="AH19" s="13" t="str"/>
    </x:row>
    <x:row r="20">
      <x:c r="A20" s="13" t="str">
        <x:v>Hugo Souza</x:v>
      </x:c>
      <x:c r="B20" s="13" t="str"/>
      <x:c r="C20" s="13" t="str">
        <x:v>Goleiro</x:v>
      </x:c>
      <x:c r="D20" s="13" t="str"/>
      <x:c r="E20" s="13" t="str">
        <x:v>SC Corinthians</x:v>
      </x:c>
      <x:c r="F20" s="13" t="str">
        <x:v>Reservas</x:v>
      </x:c>
      <x:c r="G20" s="13" t="str">
        <x:v>Certeza Atual</x:v>
      </x:c>
      <x:c r="H20" s="16" t="n">
        <x:v>27</x:v>
      </x:c>
      <x:c r="I20" s="16" t="n">
        <x:v>31</x:v>
      </x:c>
      <x:c r="J20" s="16" t="n">
        <x:v>7.5</x:v>
      </x:c>
      <x:c r="K20" s="16" t="n">
        <x:v>7.5</x:v>
      </x:c>
      <x:c r="L20" s="16" t="n">
        <x:v>7.5</x:v>
      </x:c>
      <x:c r="M20" s="13" t="str"/>
      <x:c r="N20" s="13" t="str"/>
      <x:c r="O20" s="13" t="str"/>
      <x:c r="P20" s="13" t="str"/>
      <x:c r="Q20" s="13" t="str"/>
      <x:c r="R20" s="16"/>
      <x:c r="S20" s="13" t="str"/>
      <x:c r="T20" s="13" t="str"/>
      <x:c r="U20" s="13" t="str"/>
      <x:c r="V20" s="13" t="str"/>
      <x:c r="W20" s="13" t="str"/>
      <x:c r="X20" s="13" t="str"/>
      <x:c r="Y20" s="13" t="str"/>
      <x:c r="Z20" s="13" t="str"/>
      <x:c r="AA20" s="13" t="str"/>
      <x:c r="AB20" s="13" t="str"/>
      <x:c r="AC20" s="16"/>
      <x:c r="AD20" s="16"/>
      <x:c r="AE20" s="18"/>
      <x:c r="AF20" s="16"/>
      <x:c r="AG20" s="13" t="str"/>
      <x:c r="AH20" s="13" t="str"/>
    </x:row>
    <x:row r="21">
      <x:c r="A21" s="13" t="str">
        <x:v>Igor Jesus</x:v>
      </x:c>
      <x:c r="B21" s="13" t="str"/>
      <x:c r="C21" s="13" t="str">
        <x:v>Centroavante</x:v>
      </x:c>
      <x:c r="D21" s="13" t="str"/>
      <x:c r="E21" s="13" t="str">
        <x:v>Nottingham Forest</x:v>
      </x:c>
      <x:c r="F21" s="13" t="str">
        <x:v>Reservas</x:v>
      </x:c>
      <x:c r="G21" s="13" t="str">
        <x:v>Certeza Atual</x:v>
      </x:c>
      <x:c r="H21" s="16" t="n">
        <x:v>25</x:v>
      </x:c>
      <x:c r="I21" s="16" t="n">
        <x:v>29</x:v>
      </x:c>
      <x:c r="J21" s="16" t="n">
        <x:v>7.5</x:v>
      </x:c>
      <x:c r="K21" s="16" t="n">
        <x:v>8</x:v>
      </x:c>
      <x:c r="L21" s="16" t="n">
        <x:v>7.75</x:v>
      </x:c>
      <x:c r="M21" s="13" t="str"/>
      <x:c r="N21" s="13" t="str"/>
      <x:c r="O21" s="13" t="str"/>
      <x:c r="P21" s="13" t="str"/>
      <x:c r="Q21" s="13" t="str"/>
      <x:c r="R21" s="16"/>
      <x:c r="S21" s="13" t="str"/>
      <x:c r="T21" s="13" t="str"/>
      <x:c r="U21" s="13" t="str"/>
      <x:c r="V21" s="13" t="str"/>
      <x:c r="W21" s="13" t="str"/>
      <x:c r="X21" s="13" t="str"/>
      <x:c r="Y21" s="13" t="str"/>
      <x:c r="Z21" s="13" t="str"/>
      <x:c r="AA21" s="13" t="str"/>
      <x:c r="AB21" s="13" t="str"/>
      <x:c r="AC21" s="16"/>
      <x:c r="AD21" s="16"/>
      <x:c r="AE21" s="18"/>
      <x:c r="AF21" s="16"/>
      <x:c r="AG21" s="13" t="str"/>
      <x:c r="AH21" s="13" t="str"/>
    </x:row>
    <x:row r="22">
      <x:c r="A22" s="13" t="str">
        <x:v>Jhuan</x:v>
      </x:c>
      <x:c r="B22" s="13" t="str"/>
      <x:c r="C22" s="13" t="str">
        <x:v>Ponta-direita</x:v>
      </x:c>
      <x:c r="D22" s="13" t="str"/>
      <x:c r="E22" s="13" t="str">
        <x:v>RB Bragantino Sub-20</x:v>
      </x:c>
      <x:c r="F22" s="13" t="str">
        <x:v>Observação</x:v>
      </x:c>
      <x:c r="G22" s="13" t="str">
        <x:v>Observação</x:v>
      </x:c>
      <x:c r="H22" s="16" t="n">
        <x:v>19</x:v>
      </x:c>
      <x:c r="I22" s="16" t="n">
        <x:v>23</x:v>
      </x:c>
      <x:c r="J22" s="16" t="n">
        <x:v>6</x:v>
      </x:c>
      <x:c r="K22" s="16" t="n">
        <x:v>6.5</x:v>
      </x:c>
      <x:c r="L22" s="16" t="n">
        <x:v>6.25</x:v>
      </x:c>
      <x:c r="M22" s="13" t="str"/>
      <x:c r="N22" s="13" t="str"/>
      <x:c r="O22" s="13" t="str"/>
      <x:c r="P22" s="13" t="str"/>
      <x:c r="Q22" s="13" t="str"/>
      <x:c r="R22" s="16"/>
      <x:c r="S22" s="13" t="str"/>
      <x:c r="T22" s="13" t="str"/>
      <x:c r="U22" s="13" t="str"/>
      <x:c r="V22" s="13" t="str"/>
      <x:c r="W22" s="13" t="str"/>
      <x:c r="X22" s="13" t="str"/>
      <x:c r="Y22" s="13" t="str"/>
      <x:c r="Z22" s="13" t="str"/>
      <x:c r="AA22" s="13" t="str"/>
      <x:c r="AB22" s="13" t="str"/>
      <x:c r="AC22" s="16"/>
      <x:c r="AD22" s="16"/>
      <x:c r="AE22" s="18"/>
      <x:c r="AF22" s="16"/>
      <x:c r="AG22" s="13" t="str"/>
      <x:c r="AH22" s="13" t="str"/>
    </x:row>
    <x:row r="23">
      <x:c r="A23" s="13" t="str">
        <x:v>João Gomes</x:v>
      </x:c>
      <x:c r="B23" s="13" t="str">
        <x:v>João Victor Gomes da Silva</x:v>
      </x:c>
      <x:c r="C23" s="13" t="str">
        <x:v>Volante</x:v>
      </x:c>
      <x:c r="D23" s="13" t="str">
        <x:v>Mezzala direito | Mezzala esquerdo | Meia-direita</x:v>
      </x:c>
      <x:c r="E23" s="13" t="str">
        <x:v>Wolverhampton Wanderers</x:v>
      </x:c>
      <x:c r="F23" s="13" t="str">
        <x:v>Reservas</x:v>
      </x:c>
      <x:c r="G23" s="13" t="str">
        <x:v>Certeza Atual</x:v>
      </x:c>
      <x:c r="H23" s="16" t="n">
        <x:v>25</x:v>
      </x:c>
      <x:c r="I23" s="16" t="n">
        <x:v>29</x:v>
      </x:c>
      <x:c r="J23" s="16" t="n">
        <x:v>7.5</x:v>
      </x:c>
      <x:c r="K23" s="16" t="n">
        <x:v>8</x:v>
      </x:c>
      <x:c r="L23" s="16" t="n">
        <x:v>7.75</x:v>
      </x:c>
      <x:c r="M23" s="13" t="str">
        <x:v>Combate defensivo agressivo de elite, alto índice de desarmes e fôlego interminável.</x:v>
      </x:c>
      <x:c r="N23" s="13" t="str">
        <x:v>Controle disciplinar e passes longos de quebra de bloco.</x:v>
      </x:c>
      <x:c r="O23" s="13" t="str">
        <x:v>O verdadeiro cão de guarda do radar. Excelente para fechar a casinha.</x:v>
      </x:c>
      <x:c r="P23" s="13" t="str">
        <x:v>12/02/2001</x:v>
      </x:c>
      <x:c r="Q23" s="13" t="str">
        <x:v>Rio de Janeiro, Brasil</x:v>
      </x:c>
      <x:c r="R23" s="16"/>
      <x:c r="S23" s="13" t="str">
        <x:v>Direito</x:v>
      </x:c>
      <x:c r="T23" s="13" t="str"/>
      <x:c r="U23" s="13" t="str">
        <x:v>Carlos Leite</x:v>
      </x:c>
      <x:c r="V23" s="13" t="str"/>
      <x:c r="W23" s="13" t="str">
        <x:v>30/06/2030</x:v>
      </x:c>
      <x:c r="X23" s="13" t="str"/>
      <x:c r="Y23" s="13" t="str"/>
      <x:c r="Z23" s="13" t="str">
        <x:v>Nike</x:v>
      </x:c>
      <x:c r="AA23" s="13" t="str"/>
      <x:c r="AB23" s="13" t="str"/>
      <x:c r="AC23" s="16"/>
      <x:c r="AD23" s="16"/>
      <x:c r="AE23" s="18"/>
      <x:c r="AF23" s="16"/>
      <x:c r="AG23" s="13" t="str"/>
      <x:c r="AH23" s="13" t="str"/>
    </x:row>
    <x:row r="24">
      <x:c r="A24" s="13" t="str">
        <x:v>Kaiki Bruno</x:v>
      </x:c>
      <x:c r="B24" s="13" t="str"/>
      <x:c r="C24" s="13" t="str">
        <x:v>Lateral-esquerdo</x:v>
      </x:c>
      <x:c r="D24" s="13" t="str"/>
      <x:c r="E24" s="13" t="str">
        <x:v>Cruzeiro</x:v>
      </x:c>
      <x:c r="F24" s="13" t="str">
        <x:v>Titulares</x:v>
      </x:c>
      <x:c r="G24" s="13" t="str">
        <x:v>Certeza Atual</x:v>
      </x:c>
      <x:c r="H24" s="16" t="n">
        <x:v>23</x:v>
      </x:c>
      <x:c r="I24" s="16" t="n">
        <x:v>27</x:v>
      </x:c>
      <x:c r="J24" s="16" t="n">
        <x:v>6</x:v>
      </x:c>
      <x:c r="K24" s="16" t="n">
        <x:v>6</x:v>
      </x:c>
      <x:c r="L24" s="16" t="n">
        <x:v>6</x:v>
      </x:c>
      <x:c r="M24" s="13" t="str">
        <x:v>Apoio tático consistente e boa margem para evolução física.</x:v>
      </x:c>
      <x:c r="N24" s="13" t="str">
        <x:v>Ainda inexperiente em confrontos internacionais de alto calibre.</x:v>
      </x:c>
      <x:c r="O24" s="13" t="str">
        <x:v>Aprovado por Roberto para iniciar a rodagem de testes devido ao gargalo do setor.</x:v>
      </x:c>
      <x:c r="P24" s="13" t="str"/>
      <x:c r="Q24" s="13" t="str"/>
      <x:c r="R24" s="16"/>
      <x:c r="S24" s="13" t="str"/>
      <x:c r="T24" s="13" t="str"/>
      <x:c r="U24" s="13" t="str"/>
      <x:c r="V24" s="13" t="str"/>
      <x:c r="W24" s="13" t="str"/>
      <x:c r="X24" s="13" t="str"/>
      <x:c r="Y24" s="13" t="str"/>
      <x:c r="Z24" s="13" t="str"/>
      <x:c r="AA24" s="13" t="str"/>
      <x:c r="AB24" s="13" t="str"/>
      <x:c r="AC24" s="16"/>
      <x:c r="AD24" s="16"/>
      <x:c r="AE24" s="18"/>
      <x:c r="AF24" s="16"/>
      <x:c r="AG24" s="13" t="str"/>
      <x:c r="AH24" s="13" t="str"/>
    </x:row>
    <x:row r="25">
      <x:c r="A25" s="13" t="str">
        <x:v>Kauã Elias</x:v>
      </x:c>
      <x:c r="B25" s="13" t="str"/>
      <x:c r="C25" s="13" t="str">
        <x:v>Centroavante</x:v>
      </x:c>
      <x:c r="D25" s="13" t="str">
        <x:v>Segundo atacante</x:v>
      </x:c>
      <x:c r="E25" s="13" t="str">
        <x:v>Shakhtar Donetsk</x:v>
      </x:c>
      <x:c r="F25" s="13" t="str">
        <x:v>Observação</x:v>
      </x:c>
      <x:c r="G25" s="13" t="str">
        <x:v>Promessa 2030</x:v>
      </x:c>
      <x:c r="H25" s="16" t="n">
        <x:v>20</x:v>
      </x:c>
      <x:c r="I25" s="16" t="n">
        <x:v>24</x:v>
      </x:c>
      <x:c r="J25" s="16" t="n">
        <x:v>7.5</x:v>
      </x:c>
      <x:c r="K25" s="16" t="n">
        <x:v>8</x:v>
      </x:c>
      <x:c r="L25" s="16" t="n">
        <x:v>7.75</x:v>
      </x:c>
      <x:c r="M25" s="13" t="str"/>
      <x:c r="N25" s="13" t="str"/>
      <x:c r="O25" s="13" t="str"/>
      <x:c r="P25" s="13" t="str"/>
      <x:c r="Q25" s="13" t="str"/>
      <x:c r="R25" s="16"/>
      <x:c r="S25" s="13" t="str"/>
      <x:c r="T25" s="13" t="str"/>
      <x:c r="U25" s="13" t="str"/>
      <x:c r="V25" s="13" t="str"/>
      <x:c r="W25" s="13" t="str"/>
      <x:c r="X25" s="13" t="str"/>
      <x:c r="Y25" s="13" t="str"/>
      <x:c r="Z25" s="13" t="str"/>
      <x:c r="AA25" s="13" t="str"/>
      <x:c r="AB25" s="13" t="str"/>
      <x:c r="AC25" s="16"/>
      <x:c r="AD25" s="16"/>
      <x:c r="AE25" s="18"/>
      <x:c r="AF25" s="16"/>
      <x:c r="AG25" s="13" t="str"/>
      <x:c r="AH25" s="13" t="str"/>
    </x:row>
    <x:row r="26">
      <x:c r="A26" s="13" t="str">
        <x:v>Leonardo Nannetti</x:v>
      </x:c>
      <x:c r="B26" s="13" t="str"/>
      <x:c r="C26" s="13" t="str">
        <x:v>Goleiro</x:v>
      </x:c>
      <x:c r="D26" s="13" t="str"/>
      <x:c r="E26" s="13" t="str">
        <x:v>CR Flamengo Sub-20</x:v>
      </x:c>
      <x:c r="F26" s="13" t="str">
        <x:v>Observação</x:v>
      </x:c>
      <x:c r="G26" s="13" t="str">
        <x:v>Promessa 2030</x:v>
      </x:c>
      <x:c r="H26" s="16" t="n">
        <x:v>18</x:v>
      </x:c>
      <x:c r="I26" s="16" t="n">
        <x:v>22</x:v>
      </x:c>
      <x:c r="J26" s="16" t="n">
        <x:v>6.5</x:v>
      </x:c>
      <x:c r="K26" s="16" t="n">
        <x:v>7</x:v>
      </x:c>
      <x:c r="L26" s="16" t="n">
        <x:v>6.75</x:v>
      </x:c>
      <x:c r="M26" s="13" t="str"/>
      <x:c r="N26" s="13" t="str"/>
      <x:c r="O26" s="13" t="str"/>
      <x:c r="P26" s="13" t="str"/>
      <x:c r="Q26" s="13" t="str"/>
      <x:c r="R26" s="16"/>
      <x:c r="S26" s="13" t="str"/>
      <x:c r="T26" s="13" t="str"/>
      <x:c r="U26" s="13" t="str"/>
      <x:c r="V26" s="13" t="str"/>
      <x:c r="W26" s="13" t="str"/>
      <x:c r="X26" s="13" t="str"/>
      <x:c r="Y26" s="13" t="str"/>
      <x:c r="Z26" s="13" t="str"/>
      <x:c r="AA26" s="13" t="str"/>
      <x:c r="AB26" s="13" t="str"/>
      <x:c r="AC26" s="16"/>
      <x:c r="AD26" s="16"/>
      <x:c r="AE26" s="18"/>
      <x:c r="AF26" s="16"/>
      <x:c r="AG26" s="13" t="str"/>
      <x:c r="AH26" s="13" t="str"/>
    </x:row>
    <x:row r="27">
      <x:c r="A27" s="13" t="str">
        <x:v>Lucas Beraldo</x:v>
      </x:c>
      <x:c r="B27" s="13" t="str"/>
      <x:c r="C27" s="13" t="str">
        <x:v>Zagueiro</x:v>
      </x:c>
      <x:c r="D27" s="13" t="str">
        <x:v>Lateral-esquerdo</x:v>
      </x:c>
      <x:c r="E27" s="13" t="str">
        <x:v>Paris Saint-Germain</x:v>
      </x:c>
      <x:c r="F27" s="13" t="str">
        <x:v>Titulares</x:v>
      </x:c>
      <x:c r="G27" s="13" t="str">
        <x:v>Certeza Atual</x:v>
      </x:c>
      <x:c r="H27" s="16" t="n">
        <x:v>22</x:v>
      </x:c>
      <x:c r="I27" s="16" t="n">
        <x:v>26</x:v>
      </x:c>
      <x:c r="J27" s="16" t="n">
        <x:v>8</x:v>
      </x:c>
      <x:c r="K27" s="16" t="n">
        <x:v>8</x:v>
      </x:c>
      <x:c r="L27" s="16" t="n">
        <x:v>8</x:v>
      </x:c>
      <x:c r="M27" s="13" t="str">
        <x:v>Saída de bola primorosa e excelente senso de antecipação.</x:v>
      </x:c>
      <x:c r="N27" s="13" t="str">
        <x:v>Pode sofrer contra atacantes de extrema imposição física direta.</x:v>
      </x:c>
      <x:c r="O27" s="13" t="str">
        <x:v>Cotado como curinga, podendo atuar também como primeiro homem de meio-campo.</x:v>
      </x:c>
      <x:c r="P27" s="13" t="str"/>
      <x:c r="Q27" s="13" t="str"/>
      <x:c r="R27" s="16"/>
      <x:c r="S27" s="13" t="str"/>
      <x:c r="T27" s="13" t="str"/>
      <x:c r="U27" s="13" t="str"/>
      <x:c r="V27" s="13" t="str"/>
      <x:c r="W27" s="13" t="str"/>
      <x:c r="X27" s="13" t="str"/>
      <x:c r="Y27" s="13" t="str"/>
      <x:c r="Z27" s="13" t="str"/>
      <x:c r="AA27" s="13" t="str"/>
      <x:c r="AB27" s="13" t="str"/>
      <x:c r="AC27" s="16"/>
      <x:c r="AD27" s="16"/>
      <x:c r="AE27" s="18"/>
      <x:c r="AF27" s="16"/>
      <x:c r="AG27" s="13" t="str"/>
      <x:c r="AH27" s="13" t="str"/>
    </x:row>
    <x:row r="28">
      <x:c r="A28" s="13" t="str">
        <x:v>Lucas Perri</x:v>
      </x:c>
      <x:c r="B28" s="13" t="str"/>
      <x:c r="C28" s="13" t="str">
        <x:v>Goleiro</x:v>
      </x:c>
      <x:c r="D28" s="13" t="str"/>
      <x:c r="E28" s="13" t="str">
        <x:v>Lyon</x:v>
      </x:c>
      <x:c r="F28" s="13" t="str">
        <x:v>Observação</x:v>
      </x:c>
      <x:c r="G28" s="13" t="str">
        <x:v>Observação</x:v>
      </x:c>
      <x:c r="H28" s="16" t="n">
        <x:v>28</x:v>
      </x:c>
      <x:c r="I28" s="16" t="n">
        <x:v>32</x:v>
      </x:c>
      <x:c r="J28" s="16" t="n">
        <x:v>6.5</x:v>
      </x:c>
      <x:c r="K28" s="16" t="n">
        <x:v>6</x:v>
      </x:c>
      <x:c r="L28" s="16" t="n">
        <x:v>6.25</x:v>
      </x:c>
      <x:c r="M28" s="13" t="str">
        <x:v>Físico imponente e experiência recente em solo europeu.</x:v>
      </x:c>
      <x:c r="N28" s="13" t="str">
        <x:v>Oscilações em momentos de alta carga decisiva.</x:v>
      </x:c>
      <x:c r="O28" s="13" t="str">
        <x:v>Visto como opção viável de elenco, mas sem garantias de liderar a meta.</x:v>
      </x:c>
      <x:c r="P28" s="13" t="str"/>
      <x:c r="Q28" s="13" t="str"/>
      <x:c r="R28" s="16"/>
      <x:c r="S28" s="13" t="str"/>
      <x:c r="T28" s="13" t="str"/>
      <x:c r="U28" s="13" t="str"/>
      <x:c r="V28" s="13" t="str"/>
      <x:c r="W28" s="13" t="str"/>
      <x:c r="X28" s="13" t="str"/>
      <x:c r="Y28" s="13" t="str"/>
      <x:c r="Z28" s="13" t="str"/>
      <x:c r="AA28" s="13" t="str"/>
      <x:c r="AB28" s="13" t="str"/>
      <x:c r="AC28" s="16"/>
      <x:c r="AD28" s="16"/>
      <x:c r="AE28" s="18"/>
      <x:c r="AF28" s="16"/>
      <x:c r="AG28" s="13" t="str"/>
      <x:c r="AH28" s="13" t="str"/>
    </x:row>
    <x:row r="29">
      <x:c r="A29" s="13" t="str">
        <x:v>Luciano Juba</x:v>
      </x:c>
      <x:c r="B29" s="13" t="str"/>
      <x:c r="C29" s="13" t="str">
        <x:v>Lateral-esquerdo</x:v>
      </x:c>
      <x:c r="D29" s="13" t="str"/>
      <x:c r="E29" s="13" t="str">
        <x:v>Bahia</x:v>
      </x:c>
      <x:c r="F29" s="13" t="str">
        <x:v>Observação</x:v>
      </x:c>
      <x:c r="G29" s="13" t="str">
        <x:v>Observação</x:v>
      </x:c>
      <x:c r="H29" s="16" t="n">
        <x:v>26</x:v>
      </x:c>
      <x:c r="I29" s="16" t="n">
        <x:v>30</x:v>
      </x:c>
      <x:c r="J29" s="16" t="n">
        <x:v>6.5</x:v>
      </x:c>
      <x:c r="K29" s="16" t="n">
        <x:v>7</x:v>
      </x:c>
      <x:c r="L29" s="16" t="n">
        <x:v>6.75</x:v>
      </x:c>
      <x:c r="M29" s="13" t="str">
        <x:v>Excelente batida na bola e grande carisma com a torcida.</x:v>
      </x:c>
      <x:c r="N29" s="13" t="str">
        <x:v>Dúvidas se suportaria o ritmo físico de pontas de elite na Copa.</x:v>
      </x:c>
      <x:c r="O29" s="13" t="str">
        <x:v>Roberto valoriza sua bola parada, enquanto Vini demonstra ressalvas táticas.</x:v>
      </x:c>
      <x:c r="P29" s="13" t="str"/>
      <x:c r="Q29" s="13" t="str"/>
      <x:c r="R29" s="16"/>
      <x:c r="S29" s="13" t="str"/>
      <x:c r="T29" s="13" t="str"/>
      <x:c r="U29" s="13" t="str"/>
      <x:c r="V29" s="13" t="str"/>
      <x:c r="W29" s="13" t="str"/>
      <x:c r="X29" s="13" t="str"/>
      <x:c r="Y29" s="13" t="str"/>
      <x:c r="Z29" s="13" t="str"/>
      <x:c r="AA29" s="13" t="str"/>
      <x:c r="AB29" s="13" t="str"/>
      <x:c r="AC29" s="16"/>
      <x:c r="AD29" s="16"/>
      <x:c r="AE29" s="18"/>
      <x:c r="AF29" s="16"/>
      <x:c r="AG29" s="13" t="str"/>
      <x:c r="AH29" s="13" t="str"/>
    </x:row>
    <x:row r="30">
      <x:c r="A30" s="13" t="str">
        <x:v>Luis Felipe</x:v>
      </x:c>
      <x:c r="B30" s="13" t="str"/>
      <x:c r="C30" s="13" t="str">
        <x:v>Volante</x:v>
      </x:c>
      <x:c r="D30" s="13" t="str">
        <x:v>Mezzala direito | Mezzala esquerdo</x:v>
      </x:c>
      <x:c r="E30" s="13" t="str">
        <x:v>SE Palmeiras Sub-20</x:v>
      </x:c>
      <x:c r="F30" s="13" t="str">
        <x:v>Observação</x:v>
      </x:c>
      <x:c r="G30" s="13" t="str">
        <x:v>Promessa 2030</x:v>
      </x:c>
      <x:c r="H30" s="16" t="n">
        <x:v>18</x:v>
      </x:c>
      <x:c r="I30" s="16" t="n">
        <x:v>22</x:v>
      </x:c>
      <x:c r="J30" s="16" t="n">
        <x:v>6.5</x:v>
      </x:c>
      <x:c r="K30" s="16" t="n">
        <x:v>7</x:v>
      </x:c>
      <x:c r="L30" s="16" t="n">
        <x:v>6.75</x:v>
      </x:c>
      <x:c r="M30" s="13" t="str"/>
      <x:c r="N30" s="13" t="str"/>
      <x:c r="O30" s="13" t="str"/>
      <x:c r="P30" s="13" t="str"/>
      <x:c r="Q30" s="13" t="str"/>
      <x:c r="R30" s="16"/>
      <x:c r="S30" s="13" t="str"/>
      <x:c r="T30" s="13" t="str"/>
      <x:c r="U30" s="13" t="str"/>
      <x:c r="V30" s="13" t="str"/>
      <x:c r="W30" s="13" t="str"/>
      <x:c r="X30" s="13" t="str"/>
      <x:c r="Y30" s="13" t="str"/>
      <x:c r="Z30" s="13" t="str"/>
      <x:c r="AA30" s="13" t="str"/>
      <x:c r="AB30" s="13" t="str"/>
      <x:c r="AC30" s="16"/>
      <x:c r="AD30" s="16"/>
      <x:c r="AE30" s="18"/>
      <x:c r="AF30" s="16"/>
      <x:c r="AG30" s="13" t="str"/>
      <x:c r="AH30" s="13" t="str"/>
    </x:row>
    <x:row r="31">
      <x:c r="A31" s="13" t="str">
        <x:v>Luis Gustavo</x:v>
      </x:c>
      <x:c r="B31" s="13" t="str">
        <x:v>Luis Gustavo Roncholeta Benedetti</x:v>
      </x:c>
      <x:c r="C31" s="13" t="str">
        <x:v>Zagueiro</x:v>
      </x:c>
      <x:c r="D31" s="13" t="str"/>
      <x:c r="E31" s="13" t="str">
        <x:v>SE Palmeiras</x:v>
      </x:c>
      <x:c r="F31" s="13" t="str">
        <x:v>Observação</x:v>
      </x:c>
      <x:c r="G31" s="13" t="str">
        <x:v>Promessa 2030</x:v>
      </x:c>
      <x:c r="H31" s="16" t="n">
        <x:v>20</x:v>
      </x:c>
      <x:c r="I31" s="16" t="n">
        <x:v>24</x:v>
      </x:c>
      <x:c r="J31" s="16" t="n">
        <x:v>7</x:v>
      </x:c>
      <x:c r="K31" s="16" t="n">
        <x:v>7</x:v>
      </x:c>
      <x:c r="L31" s="16" t="n">
        <x:v>7</x:v>
      </x:c>
      <x:c r="M31" s="13" t="str"/>
      <x:c r="N31" s="13" t="str"/>
      <x:c r="O31" s="13" t="str"/>
      <x:c r="P31" s="13" t="str">
        <x:v>07/06/2006</x:v>
      </x:c>
      <x:c r="Q31" s="13" t="str">
        <x:v>Bauru, Brasil</x:v>
      </x:c>
      <x:c r="R31" s="16"/>
      <x:c r="S31" s="13" t="str">
        <x:v>Esquerdo</x:v>
      </x:c>
      <x:c r="T31" s="13" t="str">
        <x:v>Brasil</x:v>
      </x:c>
      <x:c r="U31" s="13" t="str">
        <x:v>Bertolucci Sports</x:v>
      </x:c>
      <x:c r="V31" s="13" t="str">
        <x:v>07/01/2025</x:v>
      </x:c>
      <x:c r="W31" s="13" t="str">
        <x:v>31/12/2029</x:v>
      </x:c>
      <x:c r="X31" s="13" t="str"/>
      <x:c r="Y31" s="13" t="str">
        <x:v>15/04/2025</x:v>
      </x:c>
      <x:c r="Z31" s="13" t="str"/>
      <x:c r="AA31" s="13" t="str">
        <x:v>Defesa Central</x:v>
      </x:c>
      <x:c r="AB31" s="13" t="str"/>
      <x:c r="AC31" s="16" t="n">
        <x:v>4</x:v>
      </x:c>
      <x:c r="AD31" s="16" t="n">
        <x:v>4</x:v>
      </x:c>
      <x:c r="AE31" s="18" t="n">
        <x:v>1</x:v>
      </x:c>
      <x:c r="AF31" s="16" t="n">
        <x:v>0</x:v>
      </x:c>
      <x:c r="AG31" s="13" t="str">
        <x:v>09/12/2025</x:v>
      </x:c>
      <x:c r="AH31" s="13" t="str">
        <x:v>25/05/2026</x:v>
      </x:c>
    </x:row>
    <x:row r="32">
      <x:c r="A32" s="13" t="str">
        <x:v>Matheus Cunha</x:v>
      </x:c>
      <x:c r="B32" s="13" t="str"/>
      <x:c r="C32" s="13" t="str">
        <x:v>Centroavante</x:v>
      </x:c>
      <x:c r="D32" s="13" t="str">
        <x:v>Segundo atacante | Meia-armador</x:v>
      </x:c>
      <x:c r="E32" s="13" t="str">
        <x:v>Wolverhampton Wanderers</x:v>
      </x:c>
      <x:c r="F32" s="13" t="str">
        <x:v>Reservas</x:v>
      </x:c>
      <x:c r="G32" s="13" t="str">
        <x:v>Observação</x:v>
      </x:c>
      <x:c r="H32" s="16" t="n">
        <x:v>27</x:v>
      </x:c>
      <x:c r="I32" s="16" t="n">
        <x:v>31</x:v>
      </x:c>
      <x:c r="J32" s="16" t="n">
        <x:v>7</x:v>
      </x:c>
      <x:c r="K32" s="16" t="n">
        <x:v>7.5</x:v>
      </x:c>
      <x:c r="L32" s="16" t="n">
        <x:v>7.25</x:v>
      </x:c>
      <x:c r="M32" s="13" t="str"/>
      <x:c r="N32" s="13" t="str"/>
      <x:c r="O32" s="13" t="str"/>
      <x:c r="P32" s="13" t="str"/>
      <x:c r="Q32" s="13" t="str"/>
      <x:c r="R32" s="16"/>
      <x:c r="S32" s="13" t="str"/>
      <x:c r="T32" s="13" t="str"/>
      <x:c r="U32" s="13" t="str"/>
      <x:c r="V32" s="13" t="str"/>
      <x:c r="W32" s="13" t="str"/>
      <x:c r="X32" s="13" t="str"/>
      <x:c r="Y32" s="13" t="str"/>
      <x:c r="Z32" s="13" t="str"/>
      <x:c r="AA32" s="13" t="str"/>
      <x:c r="AB32" s="13" t="str"/>
      <x:c r="AC32" s="16"/>
      <x:c r="AD32" s="16"/>
      <x:c r="AE32" s="18"/>
      <x:c r="AF32" s="16"/>
      <x:c r="AG32" s="13" t="str"/>
      <x:c r="AH32" s="13" t="str"/>
    </x:row>
    <x:row r="33">
      <x:c r="A33" s="13" t="str">
        <x:v>Murillo</x:v>
      </x:c>
      <x:c r="B33" s="13" t="str"/>
      <x:c r="C33" s="13" t="str">
        <x:v>Zagueiro</x:v>
      </x:c>
      <x:c r="D33" s="13" t="str"/>
      <x:c r="E33" s="13" t="str">
        <x:v>Nottingham Forest</x:v>
      </x:c>
      <x:c r="F33" s="13" t="str">
        <x:v>Reservas</x:v>
      </x:c>
      <x:c r="G33" s="13" t="str">
        <x:v>Certeza Atual</x:v>
      </x:c>
      <x:c r="H33" s="16" t="n">
        <x:v>23</x:v>
      </x:c>
      <x:c r="I33" s="16" t="n">
        <x:v>27</x:v>
      </x:c>
      <x:c r="J33" s="16" t="n">
        <x:v>8</x:v>
      </x:c>
      <x:c r="K33" s="16" t="n">
        <x:v>8</x:v>
      </x:c>
      <x:c r="L33" s="16" t="n">
        <x:v>8</x:v>
      </x:c>
      <x:c r="M33" s="13" t="str">
        <x:v>Força física impressionante nos duelos terrestres e ótimo passe longo.</x:v>
      </x:c>
      <x:c r="N33" s="13" t="str">
        <x:v>Precisa ganhar mais minutos em jogos oficiais da seleção principal.</x:v>
      </x:c>
      <x:c r="O33" s="13" t="str">
        <x:v>Garante segurança total para qualquer alteração na dupla de zaga.</x:v>
      </x:c>
      <x:c r="P33" s="13" t="str"/>
      <x:c r="Q33" s="13" t="str"/>
      <x:c r="R33" s="16"/>
      <x:c r="S33" s="13" t="str"/>
      <x:c r="T33" s="13" t="str"/>
      <x:c r="U33" s="13" t="str"/>
      <x:c r="V33" s="13" t="str"/>
      <x:c r="W33" s="13" t="str"/>
      <x:c r="X33" s="13" t="str"/>
      <x:c r="Y33" s="13" t="str"/>
      <x:c r="Z33" s="13" t="str"/>
      <x:c r="AA33" s="13" t="str"/>
      <x:c r="AB33" s="13" t="str"/>
      <x:c r="AC33" s="16"/>
      <x:c r="AD33" s="16"/>
      <x:c r="AE33" s="18"/>
      <x:c r="AF33" s="16"/>
      <x:c r="AG33" s="13" t="str"/>
      <x:c r="AH33" s="13" t="str"/>
    </x:row>
    <x:row r="34">
      <x:c r="A34" s="13" t="str">
        <x:v>Rodrygo</x:v>
      </x:c>
      <x:c r="B34" s="13" t="str"/>
      <x:c r="C34" s="13" t="str">
        <x:v>Meia-armador</x:v>
      </x:c>
      <x:c r="D34" s="13" t="str">
        <x:v>Ponta-direita | Ponta-esquerda | Segundo atacante | Centroavante</x:v>
      </x:c>
      <x:c r="E34" s="13" t="str">
        <x:v>Real Madrid CF</x:v>
      </x:c>
      <x:c r="F34" s="13" t="str">
        <x:v>Titulares</x:v>
      </x:c>
      <x:c r="G34" s="13" t="str">
        <x:v>Certeza Atual</x:v>
      </x:c>
      <x:c r="H34" s="16" t="n">
        <x:v>25</x:v>
      </x:c>
      <x:c r="I34" s="16" t="n">
        <x:v>29</x:v>
      </x:c>
      <x:c r="J34" s="16" t="n">
        <x:v>8</x:v>
      </x:c>
      <x:c r="K34" s="16" t="n">
        <x:v>8</x:v>
      </x:c>
      <x:c r="L34" s="16" t="n">
        <x:v>8</x:v>
      </x:c>
      <x:c r="M34" s="13" t="str">
        <x:v>Técnica apurada, facilidade no drible e ótimo poder de decisão.</x:v>
      </x:c>
      <x:c r="N34" s="13" t="str">
        <x:v>Não possui características naturais de cadência de jogo.</x:v>
      </x:c>
      <x:c r="O34" s="13" t="str">
        <x:v>Atua como o elo criativo dinâmico para dar verticalidade às jogadas táticas.</x:v>
      </x:c>
      <x:c r="P34" s="13" t="str"/>
      <x:c r="Q34" s="13" t="str"/>
      <x:c r="R34" s="16"/>
      <x:c r="S34" s="13" t="str"/>
      <x:c r="T34" s="13" t="str"/>
      <x:c r="U34" s="13" t="str"/>
      <x:c r="V34" s="13" t="str"/>
      <x:c r="W34" s="13" t="str"/>
      <x:c r="X34" s="13" t="str"/>
      <x:c r="Y34" s="13" t="str"/>
      <x:c r="Z34" s="13" t="str"/>
      <x:c r="AA34" s="13" t="str"/>
      <x:c r="AB34" s="13" t="str"/>
      <x:c r="AC34" s="16"/>
      <x:c r="AD34" s="16"/>
      <x:c r="AE34" s="18"/>
      <x:c r="AF34" s="16"/>
      <x:c r="AG34" s="13" t="str"/>
      <x:c r="AH34" s="13" t="str"/>
    </x:row>
    <x:row r="35">
      <x:c r="A35" s="13" t="str">
        <x:v>Vinicius Junior</x:v>
      </x:c>
      <x:c r="B35" s="13" t="str">
        <x:v>Vinicius José Paixão de Oliveira Junior</x:v>
      </x:c>
      <x:c r="C35" s="13" t="str">
        <x:v>Ponta-esquerda</x:v>
      </x:c>
      <x:c r="D35" s="13" t="str">
        <x:v>Segundo atacante | Centroavante | Meia-esquerda</x:v>
      </x:c>
      <x:c r="E35" s="13" t="str">
        <x:v>Real Madrid CF</x:v>
      </x:c>
      <x:c r="F35" s="13" t="str">
        <x:v>Titulares</x:v>
      </x:c>
      <x:c r="G35" s="13" t="str">
        <x:v>Certeza Atual</x:v>
      </x:c>
      <x:c r="H35" s="16" t="n">
        <x:v>26</x:v>
      </x:c>
      <x:c r="I35" s="16" t="n">
        <x:v>30</x:v>
      </x:c>
      <x:c r="J35" s="16" t="n">
        <x:v>9</x:v>
      </x:c>
      <x:c r="K35" s="16" t="n">
        <x:v>9</x:v>
      </x:c>
      <x:c r="L35" s="16" t="n">
        <x:v>9</x:v>
      </x:c>
      <x:c r="M35" s="13" t="str">
        <x:v>Melhor drible do planeta, aceleração letal e faro de gols em decisões.</x:v>
      </x:c>
      <x:c r="N35" s="13" t="str">
        <x:v>Pode sofrer desgaste físico excessivo se isolado na ponta.</x:v>
      </x:c>
      <x:c r="O35" s="13" t="str">
        <x:v>A principal referência ofensiva e grande estrela do planejamento nacional.</x:v>
      </x:c>
      <x:c r="P35" s="13" t="str">
        <x:v>12/07/2000</x:v>
      </x:c>
      <x:c r="Q35" s="13" t="str">
        <x:v>São Gonçalo, Brasil</x:v>
      </x:c>
      <x:c r="R35" s="16"/>
      <x:c r="S35" s="13" t="str">
        <x:v>Direito</x:v>
      </x:c>
      <x:c r="T35" s="13" t="str">
        <x:v>Brasil | Espanha</x:v>
      </x:c>
      <x:c r="U35" s="13" t="str">
        <x:v>Roc Nation Sports</x:v>
      </x:c>
      <x:c r="V35" s="13" t="str">
        <x:v>12/07/2018</x:v>
      </x:c>
      <x:c r="W35" s="13" t="str">
        <x:v>30/06/2027</x:v>
      </x:c>
      <x:c r="X35" s="13" t="str"/>
      <x:c r="Y35" s="13" t="str">
        <x:v>31/10/2023</x:v>
      </x:c>
      <x:c r="Z35" s="13" t="str">
        <x:v>Nike</x:v>
      </x:c>
      <x:c r="AA35" s="13" t="str">
        <x:v>Extremo Esquerdo</x:v>
      </x:c>
      <x:c r="AB35" s="13" t="str">
        <x:v>Ponta de Lança</x:v>
      </x:c>
      <x:c r="AC35" s="16" t="n">
        <x:v>140</x:v>
      </x:c>
      <x:c r="AD35" s="16" t="n">
        <x:v>200</x:v>
      </x:c>
      <x:c r="AE35" s="18" t="n">
        <x:v>0.7</x:v>
      </x:c>
      <x:c r="AF35" s="16" t="n">
        <x:v>-60</x:v>
      </x:c>
      <x:c r="AG35" s="13" t="str">
        <x:v>10/10/2024</x:v>
      </x:c>
      <x:c r="AH35" s="13" t="str">
        <x:v>04/06/2026</x:v>
      </x:c>
    </x:row>
    <x:row r="36">
      <x:c r="A36" s="13" t="str">
        <x:v>Wesley França</x:v>
      </x:c>
      <x:c r="B36" s="13" t="str"/>
      <x:c r="C36" s="13" t="str">
        <x:v>Lateral-direito</x:v>
      </x:c>
      <x:c r="D36" s="13" t="str">
        <x:v>Lateral-esquerdo</x:v>
      </x:c>
      <x:c r="E36" s="13" t="str">
        <x:v>AS Roma</x:v>
      </x:c>
      <x:c r="F36" s="13" t="str">
        <x:v>Titulares</x:v>
      </x:c>
      <x:c r="G36" s="13" t="str">
        <x:v>Certeza Atual</x:v>
      </x:c>
      <x:c r="H36" s="16" t="n">
        <x:v>22</x:v>
      </x:c>
      <x:c r="I36" s="16" t="n">
        <x:v>26</x:v>
      </x:c>
      <x:c r="J36" s="16" t="n">
        <x:v>7.5</x:v>
      </x:c>
      <x:c r="K36" s="16" t="n">
        <x:v>7.5</x:v>
      </x:c>
      <x:c r="L36" s="16" t="n">
        <x:v>7.5</x:v>
      </x:c>
      <x:c r="M36" s="13" t="str">
        <x:v>Velocidade impressionante e excelente transição ofensiva.</x:v>
      </x:c>
      <x:c r="N36" s="13" t="str">
        <x:v>Precisa calibrar o posicionamento defensivo nas coberturas.</x:v>
      </x:c>
      <x:c r="O36" s="13" t="str">
        <x:v>Roberto aposta em sua evolução máxima. Unanimidade no corredor direito.</x:v>
      </x:c>
      <x:c r="P36" s="13" t="str"/>
      <x:c r="Q36" s="13" t="str"/>
      <x:c r="R36" s="16"/>
      <x:c r="S36" s="13" t="str"/>
      <x:c r="T36" s="13" t="str"/>
      <x:c r="U36" s="13" t="str"/>
      <x:c r="V36" s="13" t="str"/>
      <x:c r="W36" s="13" t="str"/>
      <x:c r="X36" s="13" t="str"/>
      <x:c r="Y36" s="13" t="str"/>
      <x:c r="Z36" s="13" t="str"/>
      <x:c r="AA36" s="13" t="str"/>
      <x:c r="AB36" s="13" t="str"/>
      <x:c r="AC36" s="16"/>
      <x:c r="AD36" s="16"/>
      <x:c r="AE36" s="18"/>
      <x:c r="AF36" s="16"/>
      <x:c r="AG36" s="13" t="str"/>
      <x:c r="AH36" s="13" t="str"/>
    </x:row>
    <x:row r="37">
      <x:c r="A37" s="13" t="str">
        <x:v>Yan Couto</x:v>
      </x:c>
      <x:c r="B37" s="13" t="str"/>
      <x:c r="C37" s="13" t="str">
        <x:v>Lateral-direito</x:v>
      </x:c>
      <x:c r="D37" s="13" t="str">
        <x:v>Mezzala direito</x:v>
      </x:c>
      <x:c r="E37" s="13" t="str">
        <x:v>Borussia Dortmund</x:v>
      </x:c>
      <x:c r="F37" s="13" t="str">
        <x:v>Reservas</x:v>
      </x:c>
      <x:c r="G37" s="13" t="str">
        <x:v>Certeza Atual</x:v>
      </x:c>
      <x:c r="H37" s="16" t="n">
        <x:v>24</x:v>
      </x:c>
      <x:c r="I37" s="16" t="n">
        <x:v>28</x:v>
      </x:c>
      <x:c r="J37" s="16" t="n">
        <x:v>7.5</x:v>
      </x:c>
      <x:c r="K37" s="16" t="n">
        <x:v>7</x:v>
      </x:c>
      <x:c r="L37" s="16" t="n">
        <x:v>7.25</x:v>
      </x:c>
      <x:c r="M37" s="13" t="str">
        <x:v>Fácil associação no terço final e boa técnica de cruzamento.</x:v>
      </x:c>
      <x:c r="N37" s="13" t="str">
        <x:v>Pode deixar o setor defensivo exposto ao subir constantemente.</x:v>
      </x:c>
      <x:c r="O37" s="13" t="str">
        <x:v>Grande opção de rotação para manter a intensidade do ataque lateral.</x:v>
      </x:c>
      <x:c r="P37" s="13" t="str"/>
      <x:c r="Q37" s="13" t="str"/>
      <x:c r="R37" s="16"/>
      <x:c r="S37" s="13" t="str"/>
      <x:c r="T37" s="13" t="str"/>
      <x:c r="U37" s="13" t="str"/>
      <x:c r="V37" s="13" t="str"/>
      <x:c r="W37" s="13" t="str"/>
      <x:c r="X37" s="13" t="str"/>
      <x:c r="Y37" s="13" t="str"/>
      <x:c r="Z37" s="13" t="str"/>
      <x:c r="AA37" s="13" t="str"/>
      <x:c r="AB37" s="13" t="str"/>
      <x:c r="AC37" s="16"/>
      <x:c r="AD37" s="16"/>
      <x:c r="AE37" s="18"/>
      <x:c r="AF37" s="16"/>
      <x:c r="AG37" s="13" t="str"/>
      <x:c r="AH37" s="13" t="str"/>
    </x:row>
    <x:row r="38">
      <x:c r="A38" s="13" t="str">
        <x:v>Alexsandro</x:v>
      </x:c>
      <x:c r="B38" s="13" t="str">
        <x:v>Alexsandro Victor de Souza Ribeiro</x:v>
      </x:c>
      <x:c r="C38" s="13" t="str">
        <x:v>Zagueiro</x:v>
      </x:c>
      <x:c r="D38" s="13" t="str"/>
      <x:c r="E38" s="13" t="str">
        <x:v>LOSC Lille</x:v>
      </x:c>
      <x:c r="F38" s="13" t="str">
        <x:v>Observação</x:v>
      </x:c>
      <x:c r="G38" s="13" t="str">
        <x:v>Observação</x:v>
      </x:c>
      <x:c r="H38" s="26" t="n">
        <x:v>26</x:v>
      </x:c>
      <x:c r="I38" s="26" t="n">
        <x:v>30</x:v>
      </x:c>
      <x:c r="J38" s="16" t="n">
        <x:v>0</x:v>
      </x:c>
      <x:c r="K38" s="16" t="n">
        <x:v>0</x:v>
      </x:c>
      <x:c r="L38" s="16" t="n">
        <x:v>0</x:v>
      </x:c>
      <x:c r="M38" s="13" t="str"/>
      <x:c r="N38" s="13" t="str"/>
      <x:c r="O38" s="13" t="str"/>
      <x:c r="P38" s="13" t="str">
        <x:v>09/08/1999</x:v>
      </x:c>
      <x:c r="Q38" s="13" t="str">
        <x:v>Rio de Janeiro, Brasil</x:v>
      </x:c>
      <x:c r="R38" s="16" t="n">
        <x:v>1.91</x:v>
      </x:c>
      <x:c r="S38" s="13" t="str">
        <x:v>Ambos</x:v>
      </x:c>
      <x:c r="T38" s="13" t="str">
        <x:v>Brasil</x:v>
      </x:c>
      <x:c r="U38" s="13" t="str">
        <x:v>Roc Nation Sports</x:v>
      </x:c>
      <x:c r="V38" s="13" t="str">
        <x:v>01/07/2022</x:v>
      </x:c>
      <x:c r="W38" s="13" t="str">
        <x:v>30/06/2028</x:v>
      </x:c>
      <x:c r="X38" s="13" t="str"/>
      <x:c r="Y38" s="13" t="str">
        <x:v>15/01/2024</x:v>
      </x:c>
      <x:c r="Z38" s="13" t="str"/>
      <x:c r="AA38" s="13" t="str">
        <x:v>Defesa Central</x:v>
      </x:c>
      <x:c r="AB38" s="13" t="str"/>
      <x:c r="AC38" s="16" t="n">
        <x:v>15</x:v>
      </x:c>
      <x:c r="AD38" s="16" t="n">
        <x:v>20</x:v>
      </x:c>
      <x:c r="AE38" s="18" t="n">
        <x:v>0.75</x:v>
      </x:c>
      <x:c r="AF38" s="16" t="n">
        <x:v>-5</x:v>
      </x:c>
      <x:c r="AG38" s="13" t="str">
        <x:v>02/06/2025</x:v>
      </x:c>
      <x:c r="AH38" s="13" t="str">
        <x:v>31/05/2026</x:v>
      </x:c>
    </x:row>
    <x:row r="39">
      <x:c r="A39" s="13" t="str">
        <x:v>Arthur</x:v>
      </x:c>
      <x:c r="B39" s="13" t="str">
        <x:v>Arthur Augusto de Matos Soares</x:v>
      </x:c>
      <x:c r="C39" s="13" t="str">
        <x:v>Lateral-direito</x:v>
      </x:c>
      <x:c r="D39" s="13" t="str">
        <x:v>Meia-esquerda | Meia-direita</x:v>
      </x:c>
      <x:c r="E39" s="13" t="str">
        <x:v>Bayer Leverkusen</x:v>
      </x:c>
      <x:c r="F39" s="13" t="str">
        <x:v>Observação</x:v>
      </x:c>
      <x:c r="G39" s="13" t="str">
        <x:v>Observação</x:v>
      </x:c>
      <x:c r="H39" s="26" t="n">
        <x:v>23</x:v>
      </x:c>
      <x:c r="I39" s="26" t="n">
        <x:v>27</x:v>
      </x:c>
      <x:c r="J39" s="16" t="n">
        <x:v>0</x:v>
      </x:c>
      <x:c r="K39" s="16" t="n">
        <x:v>0</x:v>
      </x:c>
      <x:c r="L39" s="16" t="n">
        <x:v>0</x:v>
      </x:c>
      <x:c r="M39" s="13" t="str"/>
      <x:c r="N39" s="13" t="str"/>
      <x:c r="O39" s="13" t="str"/>
      <x:c r="P39" s="13" t="str">
        <x:v>17/03/2003</x:v>
      </x:c>
      <x:c r="Q39" s="13" t="str">
        <x:v>Belo Horizonte, Brasil</x:v>
      </x:c>
      <x:c r="R39" s="16" t="n">
        <x:v>1.74</x:v>
      </x:c>
      <x:c r="S39" s="13" t="str">
        <x:v>Direito</x:v>
      </x:c>
      <x:c r="T39" s="13" t="str">
        <x:v>Brasil</x:v>
      </x:c>
      <x:c r="U39" s="13" t="str">
        <x:v>Roc Nation Sports</x:v>
      </x:c>
      <x:c r="V39" s="13" t="str">
        <x:v>01/07/2023</x:v>
      </x:c>
      <x:c r="W39" s="13" t="str">
        <x:v>30/06/2031</x:v>
      </x:c>
      <x:c r="X39" s="13" t="str"/>
      <x:c r="Y39" s="13" t="str">
        <x:v>06/05/2026</x:v>
      </x:c>
      <x:c r="Z39" s="13" t="str">
        <x:v>Puma</x:v>
      </x:c>
      <x:c r="AA39" s="13" t="str">
        <x:v>Lateral Direito</x:v>
      </x:c>
      <x:c r="AB39" s="13" t="str">
        <x:v>Médio Esquerdo | Médio Direito</x:v>
      </x:c>
      <x:c r="AC39" s="16" t="n">
        <x:v>8</x:v>
      </x:c>
      <x:c r="AD39" s="16" t="n">
        <x:v>8</x:v>
      </x:c>
      <x:c r="AE39" s="18" t="n">
        <x:v>1</x:v>
      </x:c>
      <x:c r="AF39" s="16" t="n">
        <x:v>0</x:v>
      </x:c>
      <x:c r="AG39" s="13" t="str">
        <x:v>26/05/2026</x:v>
      </x:c>
      <x:c r="AH39" s="13" t="str">
        <x:v>26/05/2026</x:v>
      </x:c>
    </x:row>
    <x:row r="40">
      <x:c r="A40" s="13" t="str">
        <x:v>Bremer</x:v>
      </x:c>
      <x:c r="B40" s="13" t="str">
        <x:v>Gleison Bremer Silva Nascimento</x:v>
      </x:c>
      <x:c r="C40" s="13" t="str">
        <x:v>Zagueiro</x:v>
      </x:c>
      <x:c r="D40" s="13" t="str"/>
      <x:c r="E40" s="13" t="str">
        <x:v>Juventus FC</x:v>
      </x:c>
      <x:c r="F40" s="13" t="str">
        <x:v>Observação</x:v>
      </x:c>
      <x:c r="G40" s="13" t="str">
        <x:v>Observação</x:v>
      </x:c>
      <x:c r="H40" s="26" t="n">
        <x:v>29</x:v>
      </x:c>
      <x:c r="I40" s="26" t="n">
        <x:v>33</x:v>
      </x:c>
      <x:c r="J40" s="16" t="n">
        <x:v>0</x:v>
      </x:c>
      <x:c r="K40" s="16" t="n">
        <x:v>0</x:v>
      </x:c>
      <x:c r="L40" s="16" t="n">
        <x:v>0</x:v>
      </x:c>
      <x:c r="M40" s="13" t="str"/>
      <x:c r="N40" s="13" t="str"/>
      <x:c r="O40" s="13" t="str"/>
      <x:c r="P40" s="13" t="str">
        <x:v>18/03/1997</x:v>
      </x:c>
      <x:c r="Q40" s="13" t="str">
        <x:v>Itapitanga, Brasil</x:v>
      </x:c>
      <x:c r="R40" s="16" t="n">
        <x:v>1.88</x:v>
      </x:c>
      <x:c r="S40" s="13" t="str">
        <x:v>Direito</x:v>
      </x:c>
      <x:c r="T40" s="13" t="str">
        <x:v>Brasil</x:v>
      </x:c>
      <x:c r="U40" s="13" t="str">
        <x:v>Familiar</x:v>
      </x:c>
      <x:c r="V40" s="13" t="str">
        <x:v>20/07/2022</x:v>
      </x:c>
      <x:c r="W40" s="13" t="str">
        <x:v>30/06/2029</x:v>
      </x:c>
      <x:c r="X40" s="13" t="str"/>
      <x:c r="Y40" s="13" t="str">
        <x:v>05/08/2024</x:v>
      </x:c>
      <x:c r="Z40" s="13" t="str">
        <x:v>Puma</x:v>
      </x:c>
      <x:c r="AA40" s="13" t="str">
        <x:v>Defesa Central</x:v>
      </x:c>
      <x:c r="AB40" s="13" t="str"/>
      <x:c r="AC40" s="16" t="n">
        <x:v>35</x:v>
      </x:c>
      <x:c r="AD40" s="16" t="n">
        <x:v>60</x:v>
      </x:c>
      <x:c r="AE40" s="18" t="n">
        <x:v>0.5833333333333334</x:v>
      </x:c>
      <x:c r="AF40" s="16" t="n">
        <x:v>-25</x:v>
      </x:c>
      <x:c r="AG40" s="13" t="str">
        <x:v>11/03/2024</x:v>
      </x:c>
      <x:c r="AH40" s="13" t="str">
        <x:v>28/05/2026</x:v>
      </x:c>
    </x:row>
    <x:row r="41">
      <x:c r="A41" s="13" t="str">
        <x:v>Gabriel Bontempo</x:v>
      </x:c>
      <x:c r="B41" s="13" t="str">
        <x:v>Gabriel Morais Silva Bontempo</x:v>
      </x:c>
      <x:c r="C41" s="13" t="str">
        <x:v>Mezzala direito</x:v>
      </x:c>
      <x:c r="D41" s="13" t="str">
        <x:v>Meia-direita | Meia-armador</x:v>
      </x:c>
      <x:c r="E41" s="13" t="str">
        <x:v>Santos FC</x:v>
      </x:c>
      <x:c r="F41" s="13" t="str">
        <x:v>Observação</x:v>
      </x:c>
      <x:c r="G41" s="13" t="str">
        <x:v>Promessa 2030</x:v>
      </x:c>
      <x:c r="H41" s="26" t="n">
        <x:v>21</x:v>
      </x:c>
      <x:c r="I41" s="26" t="n">
        <x:v>25</x:v>
      </x:c>
      <x:c r="J41" s="16" t="n">
        <x:v>0</x:v>
      </x:c>
      <x:c r="K41" s="16" t="n">
        <x:v>0</x:v>
      </x:c>
      <x:c r="L41" s="16" t="n">
        <x:v>0</x:v>
      </x:c>
      <x:c r="M41" s="13" t="str"/>
      <x:c r="N41" s="13" t="str"/>
      <x:c r="O41" s="13" t="str"/>
      <x:c r="P41" s="13" t="str">
        <x:v>16/01/2005</x:v>
      </x:c>
      <x:c r="Q41" s="13" t="str">
        <x:v>Uberaba, Brasil</x:v>
      </x:c>
      <x:c r="R41" s="16" t="n">
        <x:v>1.81</x:v>
      </x:c>
      <x:c r="S41" s="13" t="str">
        <x:v>Direito</x:v>
      </x:c>
      <x:c r="T41" s="13" t="str">
        <x:v>Brasil</x:v>
      </x:c>
      <x:c r="U41" s="13" t="str">
        <x:v>ADM Esporte</x:v>
      </x:c>
      <x:c r="V41" s="13" t="str">
        <x:v>15/01/2025</x:v>
      </x:c>
      <x:c r="W41" s="13" t="str">
        <x:v>31/12/2030</x:v>
      </x:c>
      <x:c r="X41" s="13" t="str"/>
      <x:c r="Y41" s="13" t="str">
        <x:v>13/04/2026</x:v>
      </x:c>
      <x:c r="Z41" s="13" t="str"/>
      <x:c r="AA41" s="13" t="str">
        <x:v>Médio Centro</x:v>
      </x:c>
      <x:c r="AB41" s="13" t="str">
        <x:v>Médio Direito | Médio Ofensivo</x:v>
      </x:c>
      <x:c r="AC41" s="16" t="n">
        <x:v>9</x:v>
      </x:c>
      <x:c r="AD41" s="16" t="n">
        <x:v>9</x:v>
      </x:c>
      <x:c r="AE41" s="18" t="n">
        <x:v>1</x:v>
      </x:c>
      <x:c r="AF41" s="16" t="n">
        <x:v>0</x:v>
      </x:c>
      <x:c r="AG41" s="13" t="str">
        <x:v>25/05/2026</x:v>
      </x:c>
      <x:c r="AH41" s="13" t="str">
        <x:v>25/05/2026</x:v>
      </x:c>
    </x:row>
    <x:row r="42">
      <x:c r="A42" s="13" t="str">
        <x:v>Gabriel Moscardo</x:v>
      </x:c>
      <x:c r="B42" s="13" t="str">
        <x:v>Gabriel Silva Moscardo de Salles</x:v>
      </x:c>
      <x:c r="C42" s="13" t="str">
        <x:v>Volante</x:v>
      </x:c>
      <x:c r="D42" s="13" t="str"/>
      <x:c r="E42" s="13" t="str">
        <x:v>RCD Espanyol</x:v>
      </x:c>
      <x:c r="F42" s="13" t="str">
        <x:v>Observação</x:v>
      </x:c>
      <x:c r="G42" s="13" t="str">
        <x:v>Promessa 2030</x:v>
      </x:c>
      <x:c r="H42" s="26" t="n">
        <x:v>20</x:v>
      </x:c>
      <x:c r="I42" s="26" t="n">
        <x:v>24</x:v>
      </x:c>
      <x:c r="J42" s="16" t="n">
        <x:v>0</x:v>
      </x:c>
      <x:c r="K42" s="16" t="n">
        <x:v>0</x:v>
      </x:c>
      <x:c r="L42" s="16" t="n">
        <x:v>0</x:v>
      </x:c>
      <x:c r="M42" s="13" t="str"/>
      <x:c r="N42" s="13" t="str"/>
      <x:c r="O42" s="13" t="str"/>
      <x:c r="P42" s="13" t="str">
        <x:v>28/09/2005</x:v>
      </x:c>
      <x:c r="Q42" s="13" t="str">
        <x:v>Taubaté, Brasil</x:v>
      </x:c>
      <x:c r="R42" s="16" t="n">
        <x:v>1.85</x:v>
      </x:c>
      <x:c r="S42" s="13" t="str">
        <x:v>Direito</x:v>
      </x:c>
      <x:c r="T42" s="13" t="str">
        <x:v>Brasil</x:v>
      </x:c>
      <x:c r="U42" s="13" t="str">
        <x:v>SportsMaxi</x:v>
      </x:c>
      <x:c r="V42" s="13" t="str">
        <x:v>08/07/2026</x:v>
      </x:c>
      <x:c r="W42" s="13" t="str">
        <x:v>30/06/2027</x:v>
      </x:c>
      <x:c r="X42" s="13" t="str"/>
      <x:c r="Y42" s="13" t="str"/>
      <x:c r="Z42" s="13" t="str">
        <x:v>adidas</x:v>
      </x:c>
      <x:c r="AA42" s="13" t="str">
        <x:v>Médio Defensivo</x:v>
      </x:c>
      <x:c r="AB42" s="13" t="str"/>
      <x:c r="AC42" s="16" t="n">
        <x:v>7</x:v>
      </x:c>
      <x:c r="AD42" s="16" t="n">
        <x:v>15</x:v>
      </x:c>
      <x:c r="AE42" s="18" t="n">
        <x:v>0.4666666666666667</x:v>
      </x:c>
      <x:c r="AF42" s="16" t="n">
        <x:v>-8</x:v>
      </x:c>
      <x:c r="AG42" s="13" t="str">
        <x:v>10/12/2023</x:v>
      </x:c>
      <x:c r="AH42" s="13" t="str">
        <x:v>27/05/2026</x:v>
      </x:c>
    </x:row>
    <x:row r="43">
      <x:c r="A43" s="13" t="str">
        <x:v>Igor Paixão</x:v>
      </x:c>
      <x:c r="B43" s="13" t="str">
        <x:v>Igor Guilherme Barbosa da Paixão</x:v>
      </x:c>
      <x:c r="C43" s="13" t="str">
        <x:v>Ponta-esquerda</x:v>
      </x:c>
      <x:c r="D43" s="13" t="str">
        <x:v>Ponta-direita | Meia-armador</x:v>
      </x:c>
      <x:c r="E43" s="13" t="str">
        <x:v>Olympique Marseille</x:v>
      </x:c>
      <x:c r="F43" s="13" t="str">
        <x:v>Observação</x:v>
      </x:c>
      <x:c r="G43" s="13" t="str">
        <x:v>Observação</x:v>
      </x:c>
      <x:c r="H43" s="26" t="n">
        <x:v>26</x:v>
      </x:c>
      <x:c r="I43" s="26" t="n">
        <x:v>30</x:v>
      </x:c>
      <x:c r="J43" s="16" t="n">
        <x:v>0</x:v>
      </x:c>
      <x:c r="K43" s="16" t="n">
        <x:v>0</x:v>
      </x:c>
      <x:c r="L43" s="16" t="n">
        <x:v>0</x:v>
      </x:c>
      <x:c r="M43" s="13" t="str"/>
      <x:c r="N43" s="13" t="str"/>
      <x:c r="O43" s="13" t="str"/>
      <x:c r="P43" s="13" t="str">
        <x:v>28/06/2000</x:v>
      </x:c>
      <x:c r="Q43" s="13" t="str">
        <x:v>Macapá, Brasil</x:v>
      </x:c>
      <x:c r="R43" s="16" t="n">
        <x:v>1.68</x:v>
      </x:c>
      <x:c r="S43" s="13" t="str">
        <x:v>Direito</x:v>
      </x:c>
      <x:c r="T43" s="13" t="str">
        <x:v>Brasil</x:v>
      </x:c>
      <x:c r="U43" s="13" t="str">
        <x:v>Toninello FC</x:v>
      </x:c>
      <x:c r="V43" s="13" t="str">
        <x:v>01/08/2025</x:v>
      </x:c>
      <x:c r="W43" s="13" t="str">
        <x:v>30/06/2030</x:v>
      </x:c>
      <x:c r="X43" s="13" t="str"/>
      <x:c r="Y43" s="13" t="str"/>
      <x:c r="Z43" s="13" t="str">
        <x:v>Nike</x:v>
      </x:c>
      <x:c r="AA43" s="13" t="str">
        <x:v>Extremo Esquerdo</x:v>
      </x:c>
      <x:c r="AB43" s="13" t="str">
        <x:v>Extremo Direito | Médio Ofensivo</x:v>
      </x:c>
      <x:c r="AC43" s="16" t="n">
        <x:v>35</x:v>
      </x:c>
      <x:c r="AD43" s="16" t="n">
        <x:v>35</x:v>
      </x:c>
      <x:c r="AE43" s="18" t="n">
        <x:v>1</x:v>
      </x:c>
      <x:c r="AF43" s="16" t="n">
        <x:v>0</x:v>
      </x:c>
      <x:c r="AG43" s="13" t="str">
        <x:v>27/05/2025</x:v>
      </x:c>
      <x:c r="AH43" s="13" t="str">
        <x:v>31/05/2026</x:v>
      </x:c>
    </x:row>
    <x:row r="44">
      <x:c r="A44" s="13" t="str">
        <x:v>Jair</x:v>
      </x:c>
      <x:c r="B44" s="13" t="str">
        <x:v>Jair Paula da Cunha Filho</x:v>
      </x:c>
      <x:c r="C44" s="13" t="str">
        <x:v>Zagueiro</x:v>
      </x:c>
      <x:c r="D44" s="13" t="str">
        <x:v>Lateral-esquerdo | Lateral-direito</x:v>
      </x:c>
      <x:c r="E44" s="13" t="str">
        <x:v>Nottingham Forest</x:v>
      </x:c>
      <x:c r="F44" s="13" t="str">
        <x:v>Observação</x:v>
      </x:c>
      <x:c r="G44" s="13" t="str">
        <x:v>Observação</x:v>
      </x:c>
      <x:c r="H44" s="26" t="n">
        <x:v>21</x:v>
      </x:c>
      <x:c r="I44" s="26" t="n">
        <x:v>25</x:v>
      </x:c>
      <x:c r="J44" s="16" t="n">
        <x:v>0</x:v>
      </x:c>
      <x:c r="K44" s="16" t="n">
        <x:v>0</x:v>
      </x:c>
      <x:c r="L44" s="16" t="n">
        <x:v>0</x:v>
      </x:c>
      <x:c r="M44" s="13" t="str"/>
      <x:c r="N44" s="13" t="str"/>
      <x:c r="O44" s="13" t="str"/>
      <x:c r="P44" s="13" t="str">
        <x:v>07/03/2005</x:v>
      </x:c>
      <x:c r="Q44" s="13" t="str">
        <x:v>Orlândia, Brasil</x:v>
      </x:c>
      <x:c r="R44" s="16" t="n">
        <x:v>1.98</x:v>
      </x:c>
      <x:c r="S44" s="13" t="str">
        <x:v>Ambos</x:v>
      </x:c>
      <x:c r="T44" s="13" t="str">
        <x:v>Brasil</x:v>
      </x:c>
      <x:c r="U44" s="13" t="str">
        <x:v>Bertolucci Sports</x:v>
      </x:c>
      <x:c r="V44" s="13" t="str">
        <x:v>11/07/2025</x:v>
      </x:c>
      <x:c r="W44" s="13" t="str">
        <x:v>30/06/2030</x:v>
      </x:c>
      <x:c r="X44" s="13" t="str"/>
      <x:c r="Y44" s="13" t="str"/>
      <x:c r="Z44" s="13" t="str"/>
      <x:c r="AA44" s="13" t="str">
        <x:v>Defesa Central</x:v>
      </x:c>
      <x:c r="AB44" s="13" t="str">
        <x:v>Lateral Esquerdo | Lateral Direito</x:v>
      </x:c>
      <x:c r="AC44" s="16" t="n">
        <x:v>15</x:v>
      </x:c>
      <x:c r="AD44" s="16" t="n">
        <x:v>15</x:v>
      </x:c>
      <x:c r="AE44" s="18" t="n">
        <x:v>1</x:v>
      </x:c>
      <x:c r="AF44" s="16" t="n">
        <x:v>0</x:v>
      </x:c>
      <x:c r="AG44" s="13" t="str">
        <x:v>02/06/2026</x:v>
      </x:c>
      <x:c r="AH44" s="13" t="str">
        <x:v>02/06/2026</x:v>
      </x:c>
    </x:row>
    <x:row r="45">
      <x:c r="A45" s="13" t="str">
        <x:v>João Pedro</x:v>
      </x:c>
      <x:c r="B45" s="13" t="str">
        <x:v>João Pedro Junqueira de Jesus</x:v>
      </x:c>
      <x:c r="C45" s="13" t="str">
        <x:v>Centroavante</x:v>
      </x:c>
      <x:c r="D45" s="13" t="str">
        <x:v>Ponta-esquerda | Segundo atacante</x:v>
      </x:c>
      <x:c r="E45" s="13" t="str">
        <x:v>Chelsea FC</x:v>
      </x:c>
      <x:c r="F45" s="13" t="str">
        <x:v>Observação</x:v>
      </x:c>
      <x:c r="G45" s="13" t="str">
        <x:v>Certeza Atual</x:v>
      </x:c>
      <x:c r="H45" s="26" t="n">
        <x:v>24</x:v>
      </x:c>
      <x:c r="I45" s="26" t="n">
        <x:v>28</x:v>
      </x:c>
      <x:c r="J45" s="16" t="n">
        <x:v>0</x:v>
      </x:c>
      <x:c r="K45" s="16" t="n">
        <x:v>0</x:v>
      </x:c>
      <x:c r="L45" s="16" t="n">
        <x:v>0</x:v>
      </x:c>
      <x:c r="M45" s="13" t="str"/>
      <x:c r="N45" s="13" t="str"/>
      <x:c r="O45" s="13" t="str"/>
      <x:c r="P45" s="13" t="str">
        <x:v>26/09/2001</x:v>
      </x:c>
      <x:c r="Q45" s="13" t="str">
        <x:v>Ribeirão Preto, Brasil</x:v>
      </x:c>
      <x:c r="R45" s="16" t="n">
        <x:v>1.86</x:v>
      </x:c>
      <x:c r="S45" s="13" t="str">
        <x:v>Direito</x:v>
      </x:c>
      <x:c r="T45" s="13" t="str">
        <x:v>Brasil</x:v>
      </x:c>
      <x:c r="U45" s="13" t="str">
        <x:v>Promanager</x:v>
      </x:c>
      <x:c r="V45" s="13" t="str">
        <x:v>02/07/2025</x:v>
      </x:c>
      <x:c r="W45" s="13" t="str">
        <x:v>30/06/2033</x:v>
      </x:c>
      <x:c r="X45" s="13" t="str"/>
      <x:c r="Y45" s="13" t="str"/>
      <x:c r="Z45" s="13" t="str">
        <x:v>adidas</x:v>
      </x:c>
      <x:c r="AA45" s="13" t="str">
        <x:v>Ponta de Lança</x:v>
      </x:c>
      <x:c r="AB45" s="13" t="str">
        <x:v>Extremo Esquerdo | Segundo Avançado</x:v>
      </x:c>
      <x:c r="AC45" s="16" t="n">
        <x:v>80</x:v>
      </x:c>
      <x:c r="AD45" s="16" t="n">
        <x:v>80</x:v>
      </x:c>
      <x:c r="AE45" s="18" t="n">
        <x:v>1</x:v>
      </x:c>
      <x:c r="AF45" s="16" t="n">
        <x:v>0</x:v>
      </x:c>
      <x:c r="AG45" s="13" t="str">
        <x:v>02/06/2026</x:v>
      </x:c>
      <x:c r="AH45" s="13" t="str">
        <x:v>02/06/2026</x:v>
      </x:c>
    </x:row>
    <x:row r="46">
      <x:c r="A46" s="13" t="str">
        <x:v>João Victor</x:v>
      </x:c>
      <x:c r="B46" s="13" t="str">
        <x:v>João Victor de Souza Menezes</x:v>
      </x:c>
      <x:c r="C46" s="13" t="str">
        <x:v>Lateral-esquerdo</x:v>
      </x:c>
      <x:c r="D46" s="13" t="str">
        <x:v>Meia-esquerda</x:v>
      </x:c>
      <x:c r="E46" s="13" t="str">
        <x:v>Tottenham Hotspur</x:v>
      </x:c>
      <x:c r="F46" s="13" t="str">
        <x:v>Observação</x:v>
      </x:c>
      <x:c r="G46" s="13" t="str">
        <x:v>Observação</x:v>
      </x:c>
      <x:c r="H46" s="26" t="n">
        <x:v>20</x:v>
      </x:c>
      <x:c r="I46" s="26" t="n">
        <x:v>24</x:v>
      </x:c>
      <x:c r="J46" s="16" t="n">
        <x:v>0</x:v>
      </x:c>
      <x:c r="K46" s="16" t="n">
        <x:v>0</x:v>
      </x:c>
      <x:c r="L46" s="16" t="n">
        <x:v>0</x:v>
      </x:c>
      <x:c r="M46" s="13" t="str"/>
      <x:c r="N46" s="13" t="str"/>
      <x:c r="O46" s="13" t="str"/>
      <x:c r="P46" s="13" t="str">
        <x:v>16/06/2006</x:v>
      </x:c>
      <x:c r="Q46" s="13" t="str">
        <x:v>Mauá, Brasil</x:v>
      </x:c>
      <x:c r="R46" s="16" t="n">
        <x:v>1.83</x:v>
      </x:c>
      <x:c r="S46" s="13" t="str">
        <x:v>Esquerdo</x:v>
      </x:c>
      <x:c r="T46" s="13" t="str">
        <x:v>Brasil</x:v>
      </x:c>
      <x:c r="U46" s="13" t="str">
        <x:v>Bertolucci Sports</x:v>
      </x:c>
      <x:c r="V46" s="13" t="str">
        <x:v>22/01/2026</x:v>
      </x:c>
      <x:c r="W46" s="13" t="str">
        <x:v>30/06/2031</x:v>
      </x:c>
      <x:c r="X46" s="13" t="str"/>
      <x:c r="Y46" s="13" t="str"/>
      <x:c r="Z46" s="13" t="str"/>
      <x:c r="AA46" s="13" t="str">
        <x:v>Lateral Esquerdo</x:v>
      </x:c>
      <x:c r="AB46" s="13" t="str">
        <x:v>Médio Esquerdo</x:v>
      </x:c>
      <x:c r="AC46" s="16" t="n">
        <x:v>12</x:v>
      </x:c>
      <x:c r="AD46" s="16" t="n">
        <x:v>12</x:v>
      </x:c>
      <x:c r="AE46" s="18" t="n">
        <x:v>1</x:v>
      </x:c>
      <x:c r="AF46" s="16" t="n">
        <x:v>0</x:v>
      </x:c>
      <x:c r="AG46" s="13" t="str">
        <x:v>08/03/2026</x:v>
      </x:c>
      <x:c r="AH46" s="13" t="str">
        <x:v>02/06/2026</x:v>
      </x:c>
    </x:row>
    <x:row r="47">
      <x:c r="A47" s="13" t="str">
        <x:v>Kauã Prates</x:v>
      </x:c>
      <x:c r="B47" s="13" t="str">
        <x:v>Kauã Prates de Almeida</x:v>
      </x:c>
      <x:c r="C47" s="13" t="str">
        <x:v>Lateral-esquerdo</x:v>
      </x:c>
      <x:c r="D47" s="13" t="str">
        <x:v>Zagueiro</x:v>
      </x:c>
      <x:c r="E47" s="13" t="str">
        <x:v>Cruzeiro EC</x:v>
      </x:c>
      <x:c r="F47" s="13" t="str">
        <x:v>Observação</x:v>
      </x:c>
      <x:c r="G47" s="13" t="str">
        <x:v>Promessa 2030</x:v>
      </x:c>
      <x:c r="H47" s="26" t="n">
        <x:v>17</x:v>
      </x:c>
      <x:c r="I47" s="26" t="n">
        <x:v>21</x:v>
      </x:c>
      <x:c r="J47" s="16" t="n">
        <x:v>0</x:v>
      </x:c>
      <x:c r="K47" s="16" t="n">
        <x:v>0</x:v>
      </x:c>
      <x:c r="L47" s="16" t="n">
        <x:v>0</x:v>
      </x:c>
      <x:c r="M47" s="13" t="str"/>
      <x:c r="N47" s="13" t="str"/>
      <x:c r="O47" s="13" t="str"/>
      <x:c r="P47" s="13" t="str">
        <x:v>12/08/2008</x:v>
      </x:c>
      <x:c r="Q47" s="13" t="str">
        <x:v>Montanha, Brasil</x:v>
      </x:c>
      <x:c r="R47" s="16" t="n">
        <x:v>1.84</x:v>
      </x:c>
      <x:c r="S47" s="13" t="str">
        <x:v>Esquerdo</x:v>
      </x:c>
      <x:c r="T47" s="13" t="str">
        <x:v>Brasil</x:v>
      </x:c>
      <x:c r="U47" s="13" t="str">
        <x:v>Trust Football</x:v>
      </x:c>
      <x:c r="V47" s="13" t="str">
        <x:v>07/05/2025</x:v>
      </x:c>
      <x:c r="W47" s="13" t="str">
        <x:v>31/12/2027</x:v>
      </x:c>
      <x:c r="X47" s="13" t="str"/>
      <x:c r="Y47" s="13" t="str"/>
      <x:c r="Z47" s="13" t="str">
        <x:v>adidas</x:v>
      </x:c>
      <x:c r="AA47" s="13" t="str">
        <x:v>Lateral Esquerdo</x:v>
      </x:c>
      <x:c r="AB47" s="13" t="str">
        <x:v>Defesa Central</x:v>
      </x:c>
      <x:c r="AC47" s="16" t="n">
        <x:v>10</x:v>
      </x:c>
      <x:c r="AD47" s="16" t="n">
        <x:v>10</x:v>
      </x:c>
      <x:c r="AE47" s="18" t="n">
        <x:v>1</x:v>
      </x:c>
      <x:c r="AF47" s="16" t="n">
        <x:v>0</x:v>
      </x:c>
      <x:c r="AG47" s="13" t="str">
        <x:v>11/03/2026</x:v>
      </x:c>
      <x:c r="AH47" s="13" t="str">
        <x:v>25/05/2026</x:v>
      </x:c>
    </x:row>
    <x:row r="48">
      <x:c r="A48" s="13" t="str">
        <x:v>Kevin</x:v>
      </x:c>
      <x:c r="B48" s="13" t="str">
        <x:v>Kevin Santos Lopes de Macedo</x:v>
      </x:c>
      <x:c r="C48" s="13" t="str">
        <x:v>Ponta-esquerda</x:v>
      </x:c>
      <x:c r="D48" s="13" t="str">
        <x:v>Ponta-direita | Centroavante</x:v>
      </x:c>
      <x:c r="E48" s="13" t="str">
        <x:v>FC Fulham</x:v>
      </x:c>
      <x:c r="F48" s="13" t="str">
        <x:v>Observação</x:v>
      </x:c>
      <x:c r="G48" s="13" t="str">
        <x:v>Observação</x:v>
      </x:c>
      <x:c r="H48" s="26" t="n">
        <x:v>23</x:v>
      </x:c>
      <x:c r="I48" s="26" t="n">
        <x:v>27</x:v>
      </x:c>
      <x:c r="J48" s="16" t="n">
        <x:v>0</x:v>
      </x:c>
      <x:c r="K48" s="16" t="n">
        <x:v>0</x:v>
      </x:c>
      <x:c r="L48" s="16" t="n">
        <x:v>0</x:v>
      </x:c>
      <x:c r="M48" s="13" t="str"/>
      <x:c r="N48" s="13" t="str"/>
      <x:c r="O48" s="13" t="str"/>
      <x:c r="P48" s="13" t="str">
        <x:v>04/01/2003</x:v>
      </x:c>
      <x:c r="Q48" s="13" t="str">
        <x:v>São Paulo, Brasil</x:v>
      </x:c>
      <x:c r="R48" s="16" t="n">
        <x:v>1.76</x:v>
      </x:c>
      <x:c r="S48" s="13" t="str">
        <x:v>Direito</x:v>
      </x:c>
      <x:c r="T48" s="13" t="str">
        <x:v>Brasil</x:v>
      </x:c>
      <x:c r="U48" s="13" t="str">
        <x:v>Talents Sports</x:v>
      </x:c>
      <x:c r="V48" s="13" t="str">
        <x:v>01/09/2025</x:v>
      </x:c>
      <x:c r="W48" s="13" t="str">
        <x:v>30/06/2030</x:v>
      </x:c>
      <x:c r="X48" s="13" t="str">
        <x:v>Opção do clube por 1 ano</x:v>
      </x:c>
      <x:c r="Y48" s="13" t="str"/>
      <x:c r="Z48" s="13" t="str">
        <x:v>Puma</x:v>
      </x:c>
      <x:c r="AA48" s="13" t="str">
        <x:v>Extremo Esquerdo</x:v>
      </x:c>
      <x:c r="AB48" s="13" t="str">
        <x:v>Extremo Direito | Ponta de Lança</x:v>
      </x:c>
      <x:c r="AC48" s="16" t="n">
        <x:v>25</x:v>
      </x:c>
      <x:c r="AD48" s="16" t="n">
        <x:v>30</x:v>
      </x:c>
      <x:c r="AE48" s="18" t="n">
        <x:v>0.8333333333333334</x:v>
      </x:c>
      <x:c r="AF48" s="16" t="n">
        <x:v>-5</x:v>
      </x:c>
      <x:c r="AG48" s="13" t="str">
        <x:v>16/10/2025</x:v>
      </x:c>
      <x:c r="AH48" s="13" t="str">
        <x:v>02/06/2026</x:v>
      </x:c>
    </x:row>
    <x:row r="49">
      <x:c r="A49" s="13" t="str">
        <x:v>Lucca Meirelles</x:v>
      </x:c>
      <x:c r="B49" s="13" t="str">
        <x:v>Lucca Oliveira Meirelles</x:v>
      </x:c>
      <x:c r="C49" s="13" t="str">
        <x:v>Centroavante</x:v>
      </x:c>
      <x:c r="D49" s="13" t="str">
        <x:v>Ponta-esquerda</x:v>
      </x:c>
      <x:c r="E49" s="13" t="str">
        <x:v>Shakhtar Donetsk</x:v>
      </x:c>
      <x:c r="F49" s="13" t="str">
        <x:v>Observação</x:v>
      </x:c>
      <x:c r="G49" s="13" t="str">
        <x:v>Promessa 2030</x:v>
      </x:c>
      <x:c r="H49" s="26" t="n">
        <x:v>19</x:v>
      </x:c>
      <x:c r="I49" s="26" t="n">
        <x:v>23</x:v>
      </x:c>
      <x:c r="J49" s="16" t="n">
        <x:v>0</x:v>
      </x:c>
      <x:c r="K49" s="16" t="n">
        <x:v>0</x:v>
      </x:c>
      <x:c r="L49" s="16" t="n">
        <x:v>0</x:v>
      </x:c>
      <x:c r="M49" s="13" t="str"/>
      <x:c r="N49" s="13" t="str"/>
      <x:c r="O49" s="13" t="str"/>
      <x:c r="P49" s="13" t="str">
        <x:v>15/03/2007</x:v>
      </x:c>
      <x:c r="Q49" s="13" t="str">
        <x:v>Goiânia, Brasil</x:v>
      </x:c>
      <x:c r="R49" s="16" t="n">
        <x:v>1.85</x:v>
      </x:c>
      <x:c r="S49" s="13" t="str">
        <x:v>Direito</x:v>
      </x:c>
      <x:c r="T49" s="13" t="str">
        <x:v>Brasil</x:v>
      </x:c>
      <x:c r="U49" s="13" t="str">
        <x:v>Bertolucci Sports</x:v>
      </x:c>
      <x:c r="V49" s="13" t="str">
        <x:v>28/08/2025</x:v>
      </x:c>
      <x:c r="W49" s="13" t="str">
        <x:v>30/06/2030</x:v>
      </x:c>
      <x:c r="X49" s="13" t="str"/>
      <x:c r="Y49" s="13" t="str"/>
      <x:c r="Z49" s="13" t="str"/>
      <x:c r="AA49" s="13" t="str">
        <x:v>Ponta de Lança</x:v>
      </x:c>
      <x:c r="AB49" s="13" t="str">
        <x:v>Extremo Esquerdo</x:v>
      </x:c>
      <x:c r="AC49" s="16" t="n">
        <x:v>10</x:v>
      </x:c>
      <x:c r="AD49" s="16" t="n">
        <x:v>10</x:v>
      </x:c>
      <x:c r="AE49" s="18" t="n">
        <x:v>1</x:v>
      </x:c>
      <x:c r="AF49" s="16" t="n">
        <x:v>0</x:v>
      </x:c>
      <x:c r="AG49" s="13" t="str">
        <x:v>17/12/2025</x:v>
      </x:c>
      <x:c r="AH49" s="13" t="str">
        <x:v>01/06/2026</x:v>
      </x:c>
    </x:row>
    <x:row r="50">
      <x:c r="A50" s="13" t="str">
        <x:v>Luiz Henrique</x:v>
      </x:c>
      <x:c r="B50" s="13" t="str">
        <x:v>Luiz Henrique André Rosa da Silva</x:v>
      </x:c>
      <x:c r="C50" s="13" t="str">
        <x:v>Ponta-direita</x:v>
      </x:c>
      <x:c r="D50" s="13" t="str">
        <x:v>Ponta-esquerda | Centroavante</x:v>
      </x:c>
      <x:c r="E50" s="13" t="str">
        <x:v>Zenit São Petersburgo</x:v>
      </x:c>
      <x:c r="F50" s="13" t="str">
        <x:v>Observação</x:v>
      </x:c>
      <x:c r="G50" s="13" t="str">
        <x:v>Observação</x:v>
      </x:c>
      <x:c r="H50" s="26" t="n">
        <x:v>25</x:v>
      </x:c>
      <x:c r="I50" s="26" t="n">
        <x:v>29</x:v>
      </x:c>
      <x:c r="J50" s="16" t="n">
        <x:v>0</x:v>
      </x:c>
      <x:c r="K50" s="16" t="n">
        <x:v>0</x:v>
      </x:c>
      <x:c r="L50" s="16" t="n">
        <x:v>0</x:v>
      </x:c>
      <x:c r="M50" s="13" t="str"/>
      <x:c r="N50" s="13" t="str"/>
      <x:c r="O50" s="13" t="str"/>
      <x:c r="P50" s="13" t="str">
        <x:v>02/01/2001</x:v>
      </x:c>
      <x:c r="Q50" s="13" t="str">
        <x:v>Petrópolis, Brasil</x:v>
      </x:c>
      <x:c r="R50" s="16" t="n">
        <x:v>1.82</x:v>
      </x:c>
      <x:c r="S50" s="13" t="str">
        <x:v>Esquerdo</x:v>
      </x:c>
      <x:c r="T50" s="13" t="str">
        <x:v>Brasil</x:v>
      </x:c>
      <x:c r="U50" s="13" t="str">
        <x:v>REASON FOOTBALL</x:v>
      </x:c>
      <x:c r="V50" s="13" t="str">
        <x:v>20/01/2025</x:v>
      </x:c>
      <x:c r="W50" s="13" t="str">
        <x:v>31/12/2028</x:v>
      </x:c>
      <x:c r="X50" s="13" t="str">
        <x:v>Mais um ano</x:v>
      </x:c>
      <x:c r="Y50" s="13" t="str"/>
      <x:c r="Z50" s="13" t="str">
        <x:v>adidas</x:v>
      </x:c>
      <x:c r="AA50" s="13" t="str">
        <x:v>Extremo Direito</x:v>
      </x:c>
      <x:c r="AB50" s="13" t="str">
        <x:v>Extremo Esquerdo | Ponta de Lança</x:v>
      </x:c>
      <x:c r="AC50" s="16" t="n">
        <x:v>24</x:v>
      </x:c>
      <x:c r="AD50" s="16" t="n">
        <x:v>25</x:v>
      </x:c>
      <x:c r="AE50" s="18" t="n">
        <x:v>0.96</x:v>
      </x:c>
      <x:c r="AF50" s="16" t="n">
        <x:v>-1</x:v>
      </x:c>
      <x:c r="AG50" s="13" t="str">
        <x:v>18/03/2025</x:v>
      </x:c>
      <x:c r="AH50" s="13" t="str">
        <x:v>25/05/2026</x:v>
      </x:c>
    </x:row>
    <x:row r="51">
      <x:c r="A51" s="13" t="str">
        <x:v>Luiz Júnior</x:v>
      </x:c>
      <x:c r="B51" s="13" t="str">
        <x:v>Luiz Lúcio Reis Júnior</x:v>
      </x:c>
      <x:c r="C51" s="13" t="str">
        <x:v>Goleiro</x:v>
      </x:c>
      <x:c r="D51" s="13" t="str"/>
      <x:c r="E51" s="13" t="str">
        <x:v>FC Villarreal</x:v>
      </x:c>
      <x:c r="F51" s="13" t="str">
        <x:v>Observação</x:v>
      </x:c>
      <x:c r="G51" s="13" t="str">
        <x:v>Observação</x:v>
      </x:c>
      <x:c r="H51" s="26" t="n">
        <x:v>25</x:v>
      </x:c>
      <x:c r="I51" s="26" t="n">
        <x:v>29</x:v>
      </x:c>
      <x:c r="J51" s="16" t="n">
        <x:v>0</x:v>
      </x:c>
      <x:c r="K51" s="16" t="n">
        <x:v>0</x:v>
      </x:c>
      <x:c r="L51" s="16" t="n">
        <x:v>0</x:v>
      </x:c>
      <x:c r="M51" s="13" t="str"/>
      <x:c r="N51" s="13" t="str"/>
      <x:c r="O51" s="13" t="str"/>
      <x:c r="P51" s="13" t="str">
        <x:v>14/01/2001</x:v>
      </x:c>
      <x:c r="Q51" s="13" t="str">
        <x:v>Picos, Brasil</x:v>
      </x:c>
      <x:c r="R51" s="16" t="n">
        <x:v>1.92</x:v>
      </x:c>
      <x:c r="S51" s="13" t="str">
        <x:v>Esquerdo</x:v>
      </x:c>
      <x:c r="T51" s="13" t="str">
        <x:v>Brasil | Portugal</x:v>
      </x:c>
      <x:c r="U51" s="13" t="str"/>
      <x:c r="V51" s="13" t="str">
        <x:v>20/08/2024</x:v>
      </x:c>
      <x:c r="W51" s="13" t="str">
        <x:v>30/06/2030</x:v>
      </x:c>
      <x:c r="X51" s="13" t="str"/>
      <x:c r="Y51" s="13" t="str"/>
      <x:c r="Z51" s="13" t="str"/>
      <x:c r="AA51" s="13" t="str">
        <x:v>Guarda-redes</x:v>
      </x:c>
      <x:c r="AB51" s="13" t="str"/>
      <x:c r="AC51" s="16" t="n">
        <x:v>12</x:v>
      </x:c>
      <x:c r="AD51" s="16" t="n">
        <x:v>12</x:v>
      </x:c>
      <x:c r="AE51" s="18" t="n">
        <x:v>1</x:v>
      </x:c>
      <x:c r="AF51" s="16" t="n">
        <x:v>0</x:v>
      </x:c>
      <x:c r="AG51" s="13" t="str">
        <x:v>11/12/2025</x:v>
      </x:c>
      <x:c r="AH51" s="13" t="str">
        <x:v>04/06/2026</x:v>
      </x:c>
    </x:row>
    <x:row r="52">
      <x:c r="A52" s="13" t="str">
        <x:v>Matheus Martinelli</x:v>
      </x:c>
      <x:c r="B52" s="13" t="str">
        <x:v>Matheus Martinelli Lima</x:v>
      </x:c>
      <x:c r="C52" s="13" t="str">
        <x:v>Volante</x:v>
      </x:c>
      <x:c r="D52" s="13" t="str">
        <x:v>Mezzala direito | Zagueiro</x:v>
      </x:c>
      <x:c r="E52" s="13" t="str">
        <x:v>Fluminense FC</x:v>
      </x:c>
      <x:c r="F52" s="13" t="str">
        <x:v>Observação</x:v>
      </x:c>
      <x:c r="G52" s="13" t="str">
        <x:v>Observação</x:v>
      </x:c>
      <x:c r="H52" s="26" t="n">
        <x:v>24</x:v>
      </x:c>
      <x:c r="I52" s="26" t="n">
        <x:v>28</x:v>
      </x:c>
      <x:c r="J52" s="16" t="n">
        <x:v>0</x:v>
      </x:c>
      <x:c r="K52" s="16" t="n">
        <x:v>0</x:v>
      </x:c>
      <x:c r="L52" s="16" t="n">
        <x:v>0</x:v>
      </x:c>
      <x:c r="M52" s="13" t="str"/>
      <x:c r="N52" s="13" t="str"/>
      <x:c r="O52" s="13" t="str"/>
      <x:c r="P52" s="13" t="str">
        <x:v>05/10/2001</x:v>
      </x:c>
      <x:c r="Q52" s="13" t="str">
        <x:v>Presidente Prudente, Brasil</x:v>
      </x:c>
      <x:c r="R52" s="16" t="n">
        <x:v>1.76</x:v>
      </x:c>
      <x:c r="S52" s="13" t="str">
        <x:v>Direito</x:v>
      </x:c>
      <x:c r="T52" s="13" t="str">
        <x:v>Brasil</x:v>
      </x:c>
      <x:c r="U52" s="13" t="str">
        <x:v>ADM Esporte</x:v>
      </x:c>
      <x:c r="V52" s="13" t="str">
        <x:v>01/07/2020</x:v>
      </x:c>
      <x:c r="W52" s="13" t="str">
        <x:v>31/12/2030</x:v>
      </x:c>
      <x:c r="X52" s="13" t="str"/>
      <x:c r="Y52" s="13" t="str">
        <x:v>24/02/2026</x:v>
      </x:c>
      <x:c r="Z52" s="13" t="str"/>
      <x:c r="AA52" s="13" t="str">
        <x:v>Médio Defensivo</x:v>
      </x:c>
      <x:c r="AB52" s="13" t="str">
        <x:v>Médio Centro | Defesa Central</x:v>
      </x:c>
      <x:c r="AC52" s="16" t="n">
        <x:v>16</x:v>
      </x:c>
      <x:c r="AD52" s="16" t="n">
        <x:v>16</x:v>
      </x:c>
      <x:c r="AE52" s="18" t="n">
        <x:v>1</x:v>
      </x:c>
      <x:c r="AF52" s="16" t="n">
        <x:v>0</x:v>
      </x:c>
      <x:c r="AG52" s="13" t="str">
        <x:v>11/03/2026</x:v>
      </x:c>
      <x:c r="AH52" s="13" t="str">
        <x:v>25/05/2026</x:v>
      </x:c>
    </x:row>
    <x:row r="53">
      <x:c r="A53" s="13" t="str">
        <x:v>Otávio</x:v>
      </x:c>
      <x:c r="B53" s="13" t="str">
        <x:v>Otávio Eleodoro Rezende Costa</x:v>
      </x:c>
      <x:c r="C53" s="13" t="str">
        <x:v>Goleiro</x:v>
      </x:c>
      <x:c r="D53" s="13" t="str"/>
      <x:c r="E53" s="13" t="str">
        <x:v>Cruzeiro EC</x:v>
      </x:c>
      <x:c r="F53" s="13" t="str">
        <x:v>Observação</x:v>
      </x:c>
      <x:c r="G53" s="13" t="str">
        <x:v>Observação</x:v>
      </x:c>
      <x:c r="H53" s="26" t="n">
        <x:v>20</x:v>
      </x:c>
      <x:c r="I53" s="26" t="n">
        <x:v>24</x:v>
      </x:c>
      <x:c r="J53" s="16" t="n">
        <x:v>0</x:v>
      </x:c>
      <x:c r="K53" s="16" t="n">
        <x:v>0</x:v>
      </x:c>
      <x:c r="L53" s="16" t="n">
        <x:v>0</x:v>
      </x:c>
      <x:c r="M53" s="13" t="str"/>
      <x:c r="N53" s="13" t="str"/>
      <x:c r="O53" s="13" t="str"/>
      <x:c r="P53" s="13" t="str">
        <x:v>27/12/2005</x:v>
      </x:c>
      <x:c r="Q53" s="13" t="str">
        <x:v>Perdigão, Brasil</x:v>
      </x:c>
      <x:c r="R53" s="16" t="n">
        <x:v>1.92</x:v>
      </x:c>
      <x:c r="S53" s="13" t="str">
        <x:v>Direito</x:v>
      </x:c>
      <x:c r="T53" s="13" t="str">
        <x:v>Brasil</x:v>
      </x:c>
      <x:c r="U53" s="13" t="str">
        <x:v>Hebrom Fut.</x:v>
      </x:c>
      <x:c r="V53" s="13" t="str">
        <x:v>01/01/2025</x:v>
      </x:c>
      <x:c r="W53" s="13" t="str">
        <x:v>31/12/2028</x:v>
      </x:c>
      <x:c r="X53" s="13" t="str"/>
      <x:c r="Y53" s="13" t="str">
        <x:v>17/01/2024</x:v>
      </x:c>
      <x:c r="Z53" s="13" t="str">
        <x:v>Nike</x:v>
      </x:c>
      <x:c r="AA53" s="13" t="str">
        <x:v>Guarda-redes</x:v>
      </x:c>
      <x:c r="AB53" s="13" t="str"/>
      <x:c r="AC53" s="16" t="n">
        <x:v>0.5</x:v>
      </x:c>
      <x:c r="AD53" s="16" t="n">
        <x:v>0.5</x:v>
      </x:c>
      <x:c r="AE53" s="18" t="n">
        <x:v>1</x:v>
      </x:c>
      <x:c r="AF53" s="16" t="n">
        <x:v>0</x:v>
      </x:c>
      <x:c r="AG53" s="13" t="str">
        <x:v>11/03/2026</x:v>
      </x:c>
      <x:c r="AH53" s="13" t="str">
        <x:v>25/05/2026</x:v>
      </x:c>
    </x:row>
    <x:row r="54">
      <x:c r="A54" s="13" t="str">
        <x:v>Pedro Morisco</x:v>
      </x:c>
      <x:c r="B54" s="13" t="str">
        <x:v>Pedro Luccas Morisco da Silva</x:v>
      </x:c>
      <x:c r="C54" s="13" t="str">
        <x:v>Goleiro</x:v>
      </x:c>
      <x:c r="D54" s="13" t="str"/>
      <x:c r="E54" s="13" t="str">
        <x:v>Coritiba Foot Ball Club</x:v>
      </x:c>
      <x:c r="F54" s="13" t="str">
        <x:v>Observação</x:v>
      </x:c>
      <x:c r="G54" s="13" t="str">
        <x:v>Observação</x:v>
      </x:c>
      <x:c r="H54" s="26" t="n">
        <x:v>22</x:v>
      </x:c>
      <x:c r="I54" s="26" t="n">
        <x:v>26</x:v>
      </x:c>
      <x:c r="J54" s="16" t="n">
        <x:v>0</x:v>
      </x:c>
      <x:c r="K54" s="16" t="n">
        <x:v>0</x:v>
      </x:c>
      <x:c r="L54" s="16" t="n">
        <x:v>0</x:v>
      </x:c>
      <x:c r="M54" s="13" t="str"/>
      <x:c r="N54" s="13" t="str"/>
      <x:c r="O54" s="13" t="str"/>
      <x:c r="P54" s="13" t="str">
        <x:v>10/01/2004</x:v>
      </x:c>
      <x:c r="Q54" s="13" t="str">
        <x:v>Curitiba, Brasil</x:v>
      </x:c>
      <x:c r="R54" s="16" t="n">
        <x:v>1.91</x:v>
      </x:c>
      <x:c r="S54" s="13" t="str">
        <x:v>Direito</x:v>
      </x:c>
      <x:c r="T54" s="13" t="str">
        <x:v>Brasil</x:v>
      </x:c>
      <x:c r="U54" s="13" t="str">
        <x:v>LINK SPORTS</x:v>
      </x:c>
      <x:c r="V54" s="13" t="str">
        <x:v>01/01/2023</x:v>
      </x:c>
      <x:c r="W54" s="13" t="str">
        <x:v>31/12/2027</x:v>
      </x:c>
      <x:c r="X54" s="13" t="str"/>
      <x:c r="Y54" s="13" t="str"/>
      <x:c r="Z54" s="13" t="str"/>
      <x:c r="AA54" s="13" t="str">
        <x:v>Guarda-redes</x:v>
      </x:c>
      <x:c r="AB54" s="13" t="str"/>
      <x:c r="AC54" s="16" t="n">
        <x:v>5</x:v>
      </x:c>
      <x:c r="AD54" s="16" t="n">
        <x:v>5</x:v>
      </x:c>
      <x:c r="AE54" s="18" t="n">
        <x:v>1</x:v>
      </x:c>
      <x:c r="AF54" s="16" t="n">
        <x:v>0</x:v>
      </x:c>
      <x:c r="AG54" s="13" t="str">
        <x:v>11/03/2026</x:v>
      </x:c>
      <x:c r="AH54" s="13" t="str">
        <x:v>25/05/2026</x:v>
      </x:c>
    </x:row>
    <x:row r="55">
      <x:c r="A55" s="13" t="str">
        <x:v>Raphinha</x:v>
      </x:c>
      <x:c r="B55" s="13" t="str">
        <x:v>Raphael Dias Belloli</x:v>
      </x:c>
      <x:c r="C55" s="13" t="str">
        <x:v>Ponta-esquerda</x:v>
      </x:c>
      <x:c r="D55" s="13" t="str">
        <x:v>Ponta-direita | Segundo atacante</x:v>
      </x:c>
      <x:c r="E55" s="13" t="str">
        <x:v>FC Barcelona</x:v>
      </x:c>
      <x:c r="F55" s="13" t="str">
        <x:v>Observação</x:v>
      </x:c>
      <x:c r="G55" s="13" t="str">
        <x:v>Certeza Atual</x:v>
      </x:c>
      <x:c r="H55" s="26" t="n">
        <x:v>29</x:v>
      </x:c>
      <x:c r="I55" s="26" t="n">
        <x:v>33</x:v>
      </x:c>
      <x:c r="J55" s="16" t="n">
        <x:v>0</x:v>
      </x:c>
      <x:c r="K55" s="16" t="n">
        <x:v>0</x:v>
      </x:c>
      <x:c r="L55" s="16" t="n">
        <x:v>0</x:v>
      </x:c>
      <x:c r="M55" s="13" t="str"/>
      <x:c r="N55" s="13" t="str"/>
      <x:c r="O55" s="13" t="str"/>
      <x:c r="P55" s="13" t="str">
        <x:v>14/12/1996</x:v>
      </x:c>
      <x:c r="Q55" s="13" t="str">
        <x:v>Porto Alegre, Brasil</x:v>
      </x:c>
      <x:c r="R55" s="16" t="n">
        <x:v>1.76</x:v>
      </x:c>
      <x:c r="S55" s="13" t="str">
        <x:v>Esquerdo</x:v>
      </x:c>
      <x:c r="T55" s="13" t="str">
        <x:v>Brasil | Itália</x:v>
      </x:c>
      <x:c r="U55" s="13" t="str"/>
      <x:c r="V55" s="13" t="str">
        <x:v>13/07/2022</x:v>
      </x:c>
      <x:c r="W55" s="13" t="str">
        <x:v>30/06/2028</x:v>
      </x:c>
      <x:c r="X55" s="13" t="str"/>
      <x:c r="Y55" s="13" t="str">
        <x:v>22/05/2025</x:v>
      </x:c>
      <x:c r="Z55" s="13" t="str">
        <x:v>adidas</x:v>
      </x:c>
      <x:c r="AA55" s="13" t="str">
        <x:v>Extremo Esquerdo</x:v>
      </x:c>
      <x:c r="AB55" s="13" t="str">
        <x:v>Extremo Direito | Segundo Avançado</x:v>
      </x:c>
      <x:c r="AC55" s="16" t="n">
        <x:v>70</x:v>
      </x:c>
      <x:c r="AD55" s="16" t="n">
        <x:v>90</x:v>
      </x:c>
      <x:c r="AE55" s="18" t="n">
        <x:v>0.7777777777777778</x:v>
      </x:c>
      <x:c r="AF55" s="16" t="n">
        <x:v>-20</x:v>
      </x:c>
      <x:c r="AG55" s="13" t="str">
        <x:v>08/06/2025</x:v>
      </x:c>
      <x:c r="AH55" s="13" t="str">
        <x:v>04/06/2026</x:v>
      </x:c>
    </x:row>
    <x:row r="56">
      <x:c r="A56" s="13" t="str">
        <x:v>Rayan</x:v>
      </x:c>
      <x:c r="B56" s="13" t="str">
        <x:v>Rayan Vitor Simplício Rocha</x:v>
      </x:c>
      <x:c r="C56" s="13" t="str">
        <x:v>Ponta-direita</x:v>
      </x:c>
      <x:c r="D56" s="13" t="str">
        <x:v>Centroavante | Ponta-esquerda</x:v>
      </x:c>
      <x:c r="E56" s="13" t="str">
        <x:v>AFC Bournemouth</x:v>
      </x:c>
      <x:c r="F56" s="13" t="str">
        <x:v>Observação</x:v>
      </x:c>
      <x:c r="G56" s="13" t="str">
        <x:v>Promessa 2030</x:v>
      </x:c>
      <x:c r="H56" s="26" t="n">
        <x:v>19</x:v>
      </x:c>
      <x:c r="I56" s="26" t="n">
        <x:v>23</x:v>
      </x:c>
      <x:c r="J56" s="16" t="n">
        <x:v>0</x:v>
      </x:c>
      <x:c r="K56" s="16" t="n">
        <x:v>0</x:v>
      </x:c>
      <x:c r="L56" s="16" t="n">
        <x:v>0</x:v>
      </x:c>
      <x:c r="M56" s="13" t="str"/>
      <x:c r="N56" s="13" t="str"/>
      <x:c r="O56" s="13" t="str"/>
      <x:c r="P56" s="13" t="str">
        <x:v>03/08/2006</x:v>
      </x:c>
      <x:c r="Q56" s="13" t="str">
        <x:v>Rio de Janeiro, Brasil</x:v>
      </x:c>
      <x:c r="R56" s="16" t="n">
        <x:v>1.87</x:v>
      </x:c>
      <x:c r="S56" s="13" t="str">
        <x:v>Esquerdo</x:v>
      </x:c>
      <x:c r="T56" s="13" t="str">
        <x:v>Brasil</x:v>
      </x:c>
      <x:c r="U56" s="13" t="str">
        <x:v>VTN IMAGE</x:v>
      </x:c>
      <x:c r="V56" s="13" t="str">
        <x:v>27/01/2026</x:v>
      </x:c>
      <x:c r="W56" s="13" t="str">
        <x:v>30/06/2031</x:v>
      </x:c>
      <x:c r="X56" s="13" t="str"/>
      <x:c r="Y56" s="13" t="str"/>
      <x:c r="Z56" s="13" t="str"/>
      <x:c r="AA56" s="13" t="str">
        <x:v>Extremo Direito</x:v>
      </x:c>
      <x:c r="AB56" s="13" t="str">
        <x:v>Ponta de Lança | Extremo Esquerdo</x:v>
      </x:c>
      <x:c r="AC56" s="16" t="n">
        <x:v>60</x:v>
      </x:c>
      <x:c r="AD56" s="16" t="n">
        <x:v>60</x:v>
      </x:c>
      <x:c r="AE56" s="18" t="n">
        <x:v>1</x:v>
      </x:c>
      <x:c r="AF56" s="16" t="n">
        <x:v>0</x:v>
      </x:c>
      <x:c r="AG56" s="13" t="str">
        <x:v>02/06/2026</x:v>
      </x:c>
      <x:c r="AH56" s="13" t="str">
        <x:v>02/06/2026</x:v>
      </x:c>
    </x:row>
    <x:row r="57">
      <x:c r="A57" s="13" t="str">
        <x:v>Roger Ibañez</x:v>
      </x:c>
      <x:c r="B57" s="13" t="str">
        <x:v>Roger Ibañez da Silva</x:v>
      </x:c>
      <x:c r="C57" s="13" t="str">
        <x:v>Zagueiro</x:v>
      </x:c>
      <x:c r="D57" s="13" t="str">
        <x:v>Lateral-direito</x:v>
      </x:c>
      <x:c r="E57" s="13" t="str">
        <x:v>Al-Ahli SFC</x:v>
      </x:c>
      <x:c r="F57" s="13" t="str">
        <x:v>Observação</x:v>
      </x:c>
      <x:c r="G57" s="13" t="str">
        <x:v>Observação</x:v>
      </x:c>
      <x:c r="H57" s="26" t="n">
        <x:v>27</x:v>
      </x:c>
      <x:c r="I57" s="26" t="n">
        <x:v>31</x:v>
      </x:c>
      <x:c r="J57" s="16" t="n">
        <x:v>0</x:v>
      </x:c>
      <x:c r="K57" s="16" t="n">
        <x:v>0</x:v>
      </x:c>
      <x:c r="L57" s="16" t="n">
        <x:v>0</x:v>
      </x:c>
      <x:c r="M57" s="13" t="str"/>
      <x:c r="N57" s="13" t="str"/>
      <x:c r="O57" s="13" t="str"/>
      <x:c r="P57" s="13" t="str">
        <x:v>23/11/1998</x:v>
      </x:c>
      <x:c r="Q57" s="13" t="str">
        <x:v>Canela, Brasil</x:v>
      </x:c>
      <x:c r="R57" s="16" t="n">
        <x:v>1.86</x:v>
      </x:c>
      <x:c r="S57" s="13" t="str">
        <x:v>Direito</x:v>
      </x:c>
      <x:c r="T57" s="13" t="str">
        <x:v>Brasil | Itália</x:v>
      </x:c>
      <x:c r="U57" s="13" t="str">
        <x:v>Promanager</x:v>
      </x:c>
      <x:c r="V57" s="13" t="str">
        <x:v>10/08/2023</x:v>
      </x:c>
      <x:c r="W57" s="13" t="str">
        <x:v>30/06/2027</x:v>
      </x:c>
      <x:c r="X57" s="13" t="str"/>
      <x:c r="Y57" s="13" t="str"/>
      <x:c r="Z57" s="13" t="str"/>
      <x:c r="AA57" s="13" t="str">
        <x:v>Defesa Central</x:v>
      </x:c>
      <x:c r="AB57" s="13" t="str">
        <x:v>Lateral Direito</x:v>
      </x:c>
      <x:c r="AC57" s="16" t="n">
        <x:v>18</x:v>
      </x:c>
      <x:c r="AD57" s="16" t="n">
        <x:v>30</x:v>
      </x:c>
      <x:c r="AE57" s="18" t="n">
        <x:v>0.6</x:v>
      </x:c>
      <x:c r="AF57" s="16" t="n">
        <x:v>-12</x:v>
      </x:c>
      <x:c r="AG57" s="13" t="str">
        <x:v>20/03/2023</x:v>
      </x:c>
      <x:c r="AH57" s="13" t="str">
        <x:v>03/06/2026</x:v>
      </x:c>
    </x:row>
    <x:row r="58">
      <x:c r="A58" s="13" t="str">
        <x:v>Vanderson</x:v>
      </x:c>
      <x:c r="B58" s="13" t="str">
        <x:v>Vanderson de Oliveira Campos</x:v>
      </x:c>
      <x:c r="C58" s="13" t="str">
        <x:v>Lateral-direito</x:v>
      </x:c>
      <x:c r="D58" s="13" t="str">
        <x:v>Meia-direita | Ponta-direita</x:v>
      </x:c>
      <x:c r="E58" s="13" t="str">
        <x:v>AS Monaco</x:v>
      </x:c>
      <x:c r="F58" s="13" t="str">
        <x:v>Observação</x:v>
      </x:c>
      <x:c r="G58" s="13" t="str">
        <x:v>Observação</x:v>
      </x:c>
      <x:c r="H58" s="26" t="n">
        <x:v>25</x:v>
      </x:c>
      <x:c r="I58" s="26" t="n">
        <x:v>29</x:v>
      </x:c>
      <x:c r="J58" s="16" t="n">
        <x:v>0</x:v>
      </x:c>
      <x:c r="K58" s="16" t="n">
        <x:v>0</x:v>
      </x:c>
      <x:c r="L58" s="16" t="n">
        <x:v>0</x:v>
      </x:c>
      <x:c r="M58" s="13" t="str"/>
      <x:c r="N58" s="13" t="str"/>
      <x:c r="O58" s="13" t="str"/>
      <x:c r="P58" s="13" t="str">
        <x:v>21/06/2001</x:v>
      </x:c>
      <x:c r="Q58" s="13" t="str">
        <x:v>Rondonópolis, Brasil</x:v>
      </x:c>
      <x:c r="R58" s="16" t="n">
        <x:v>1.73</x:v>
      </x:c>
      <x:c r="S58" s="13" t="str">
        <x:v>Direito</x:v>
      </x:c>
      <x:c r="T58" s="13" t="str">
        <x:v>Brasil</x:v>
      </x:c>
      <x:c r="U58" s="13" t="str">
        <x:v>Bertolucci Sports</x:v>
      </x:c>
      <x:c r="V58" s="13" t="str">
        <x:v>01/01/2022</x:v>
      </x:c>
      <x:c r="W58" s="13" t="str">
        <x:v>30/06/2028</x:v>
      </x:c>
      <x:c r="X58" s="13" t="str"/>
      <x:c r="Y58" s="13" t="str">
        <x:v>02/02/2024</x:v>
      </x:c>
      <x:c r="Z58" s="13" t="str"/>
      <x:c r="AA58" s="13" t="str">
        <x:v>Lateral Direito</x:v>
      </x:c>
      <x:c r="AB58" s="13" t="str">
        <x:v>Médio Direito | Extremo Direito</x:v>
      </x:c>
      <x:c r="AC58" s="16" t="n">
        <x:v>18</x:v>
      </x:c>
      <x:c r="AD58" s="16" t="n">
        <x:v>20</x:v>
      </x:c>
      <x:c r="AE58" s="18" t="n">
        <x:v>0.9</x:v>
      </x:c>
      <x:c r="AF58" s="16" t="n">
        <x:v>-2</x:v>
      </x:c>
      <x:c r="AG58" s="13" t="str">
        <x:v>26/06/2023</x:v>
      </x:c>
      <x:c r="AH58" s="13" t="str">
        <x:v>31/05/2026</x:v>
      </x:c>
    </x:row>
    <x:row r="59">
      <x:c r="A59" s="13" t="str">
        <x:v>Vitor Roque</x:v>
      </x:c>
      <x:c r="B59" s="13" t="str">
        <x:v>Vitor Hugo Roque Ferreira</x:v>
      </x:c>
      <x:c r="C59" s="13" t="str">
        <x:v>Centroavante</x:v>
      </x:c>
      <x:c r="D59" s="13" t="str">
        <x:v>Segundo atacante | Ponta-esquerda</x:v>
      </x:c>
      <x:c r="E59" s="13" t="str">
        <x:v>SE Palmeiras</x:v>
      </x:c>
      <x:c r="F59" s="13" t="str">
        <x:v>Observação</x:v>
      </x:c>
      <x:c r="G59" s="13" t="str">
        <x:v>Observação</x:v>
      </x:c>
      <x:c r="H59" s="26" t="n">
        <x:v>21</x:v>
      </x:c>
      <x:c r="I59" s="26" t="n">
        <x:v>25</x:v>
      </x:c>
      <x:c r="J59" s="16" t="n">
        <x:v>0</x:v>
      </x:c>
      <x:c r="K59" s="16" t="n">
        <x:v>0</x:v>
      </x:c>
      <x:c r="L59" s="16" t="n">
        <x:v>0</x:v>
      </x:c>
      <x:c r="M59" s="13" t="str"/>
      <x:c r="N59" s="13" t="str"/>
      <x:c r="O59" s="13" t="str"/>
      <x:c r="P59" s="13" t="str">
        <x:v>28/02/2005</x:v>
      </x:c>
      <x:c r="Q59" s="13" t="str">
        <x:v>Timóteo, Brasil</x:v>
      </x:c>
      <x:c r="R59" s="16" t="n">
        <x:v>1.74</x:v>
      </x:c>
      <x:c r="S59" s="13" t="str">
        <x:v>Direito</x:v>
      </x:c>
      <x:c r="T59" s="13" t="str">
        <x:v>Brasil</x:v>
      </x:c>
      <x:c r="U59" s="13" t="str">
        <x:v>LINK SPORTS</x:v>
      </x:c>
      <x:c r="V59" s="13" t="str">
        <x:v>28/02/2025</x:v>
      </x:c>
      <x:c r="W59" s="13" t="str">
        <x:v>31/12/2029</x:v>
      </x:c>
      <x:c r="X59" s="13" t="str"/>
      <x:c r="Y59" s="13" t="str"/>
      <x:c r="Z59" s="13" t="str">
        <x:v>Nike</x:v>
      </x:c>
      <x:c r="AA59" s="13" t="str">
        <x:v>Ponta de Lança</x:v>
      </x:c>
      <x:c r="AB59" s="13" t="str">
        <x:v>Segundo Avançado | Extremo Esquerdo</x:v>
      </x:c>
      <x:c r="AC59" s="16" t="n">
        <x:v>38</x:v>
      </x:c>
      <x:c r="AD59" s="16" t="n">
        <x:v>40</x:v>
      </x:c>
      <x:c r="AE59" s="18" t="n">
        <x:v>0.95</x:v>
      </x:c>
      <x:c r="AF59" s="16" t="n">
        <x:v>-2</x:v>
      </x:c>
      <x:c r="AG59" s="13" t="str">
        <x:v>10/12/2023</x:v>
      </x:c>
      <x:c r="AH59" s="13" t="str">
        <x:v>25/05/2026</x:v>
      </x:c>
    </x:row>
    <x:row r="60">
      <x:c r="A60" s="13" t="str">
        <x:v>William Gomes</x:v>
      </x:c>
      <x:c r="B60" s="13" t="str">
        <x:v>William Gomes Carvalho Santos</x:v>
      </x:c>
      <x:c r="C60" s="13" t="str">
        <x:v>Ponta-direita</x:v>
      </x:c>
      <x:c r="D60" s="13" t="str">
        <x:v>Ponta-esquerda</x:v>
      </x:c>
      <x:c r="E60" s="13" t="str">
        <x:v>FC Porto</x:v>
      </x:c>
      <x:c r="F60" s="13" t="str">
        <x:v>Observação</x:v>
      </x:c>
      <x:c r="G60" s="13" t="str">
        <x:v>Promessa 2030</x:v>
      </x:c>
      <x:c r="H60" s="26" t="n">
        <x:v>20</x:v>
      </x:c>
      <x:c r="I60" s="26" t="n">
        <x:v>24</x:v>
      </x:c>
      <x:c r="J60" s="16" t="n">
        <x:v>0</x:v>
      </x:c>
      <x:c r="K60" s="16" t="n">
        <x:v>0</x:v>
      </x:c>
      <x:c r="L60" s="16" t="n">
        <x:v>0</x:v>
      </x:c>
      <x:c r="M60" s="13" t="str"/>
      <x:c r="N60" s="13" t="str"/>
      <x:c r="O60" s="13" t="str"/>
      <x:c r="P60" s="13" t="str">
        <x:v>15/03/2006</x:v>
      </x:c>
      <x:c r="Q60" s="13" t="str">
        <x:v>Aracaju, Brasil</x:v>
      </x:c>
      <x:c r="R60" s="16" t="n">
        <x:v>1.71</x:v>
      </x:c>
      <x:c r="S60" s="13" t="str">
        <x:v>Esquerdo</x:v>
      </x:c>
      <x:c r="T60" s="13" t="str">
        <x:v>Brasil</x:v>
      </x:c>
      <x:c r="U60" s="13" t="str">
        <x:v>Talents Sports</x:v>
      </x:c>
      <x:c r="V60" s="13" t="str">
        <x:v>31/01/2025</x:v>
      </x:c>
      <x:c r="W60" s="13" t="str">
        <x:v>30/06/2029</x:v>
      </x:c>
      <x:c r="X60" s="13" t="str"/>
      <x:c r="Y60" s="13" t="str"/>
      <x:c r="Z60" s="13" t="str"/>
      <x:c r="AA60" s="13" t="str">
        <x:v>Extremo Direito</x:v>
      </x:c>
      <x:c r="AB60" s="13" t="str">
        <x:v>Extremo Esquerdo</x:v>
      </x:c>
      <x:c r="AC60" s="16" t="n">
        <x:v>25</x:v>
      </x:c>
      <x:c r="AD60" s="16" t="n">
        <x:v>25</x:v>
      </x:c>
      <x:c r="AE60" s="18" t="n">
        <x:v>1</x:v>
      </x:c>
      <x:c r="AF60" s="16" t="n">
        <x:v>0</x:v>
      </x:c>
      <x:c r="AG60" s="13" t="str">
        <x:v>27/05/2026</x:v>
      </x:c>
      <x:c r="AH60" s="13" t="str">
        <x:v>27/05/2026</x:v>
      </x:c>
    </x:row>
    <x:row r="61">
      <x:c r="A61" s="13" t="str">
        <x:v>Éder Militão</x:v>
      </x:c>
      <x:c r="B61" s="13" t="str">
        <x:v>Éder Gabriel Militão</x:v>
      </x:c>
      <x:c r="C61" s="13" t="str">
        <x:v>Zagueiro</x:v>
      </x:c>
      <x:c r="D61" s="13" t="str">
        <x:v>Lateral-direito</x:v>
      </x:c>
      <x:c r="E61" s="13" t="str">
        <x:v>Real Madrid CF</x:v>
      </x:c>
      <x:c r="F61" s="13" t="str">
        <x:v>Observação</x:v>
      </x:c>
      <x:c r="G61" s="13" t="str">
        <x:v>Observação</x:v>
      </x:c>
      <x:c r="H61" s="26" t="n">
        <x:v>28</x:v>
      </x:c>
      <x:c r="I61" s="26" t="n">
        <x:v>32</x:v>
      </x:c>
      <x:c r="J61" s="16" t="n">
        <x:v>0</x:v>
      </x:c>
      <x:c r="K61" s="16" t="n">
        <x:v>0</x:v>
      </x:c>
      <x:c r="L61" s="16" t="n">
        <x:v>0</x:v>
      </x:c>
      <x:c r="M61" s="13" t="str"/>
      <x:c r="N61" s="13" t="str"/>
      <x:c r="O61" s="13" t="str"/>
      <x:c r="P61" s="13" t="str">
        <x:v>18/01/1998</x:v>
      </x:c>
      <x:c r="Q61" s="13" t="str">
        <x:v>Sertãozinho, Brasil</x:v>
      </x:c>
      <x:c r="R61" s="16" t="n">
        <x:v>1.86</x:v>
      </x:c>
      <x:c r="S61" s="13" t="str">
        <x:v>Direito</x:v>
      </x:c>
      <x:c r="T61" s="13" t="str">
        <x:v>Brasil | Espanha</x:v>
      </x:c>
      <x:c r="U61" s="13" t="str">
        <x:v>UJ Football Talent</x:v>
      </x:c>
      <x:c r="V61" s="13" t="str">
        <x:v>01/07/2019</x:v>
      </x:c>
      <x:c r="W61" s="13" t="str">
        <x:v>30/06/2028</x:v>
      </x:c>
      <x:c r="X61" s="13" t="str"/>
      <x:c r="Y61" s="13" t="str">
        <x:v>23/01/2024</x:v>
      </x:c>
      <x:c r="Z61" s="13" t="str">
        <x:v>adidas</x:v>
      </x:c>
      <x:c r="AA61" s="13" t="str">
        <x:v>Defesa Central</x:v>
      </x:c>
      <x:c r="AB61" s="13" t="str">
        <x:v>Lateral Direito</x:v>
      </x:c>
      <x:c r="AC61" s="16" t="n">
        <x:v>20</x:v>
      </x:c>
      <x:c r="AD61" s="16" t="n">
        <x:v>70</x:v>
      </x:c>
      <x:c r="AE61" s="18" t="n">
        <x:v>0.2857142857142857</x:v>
      </x:c>
      <x:c r="AF61" s="16" t="n">
        <x:v>-50</x:v>
      </x:c>
      <x:c r="AG61" s="13" t="str">
        <x:v>22/03/2023</x:v>
      </x:c>
      <x:c r="AH61" s="13" t="str">
        <x:v>04/06/2026</x:v>
      </x:c>
    </x:row>
    <x:row r="62">
      <x:c r="A62" s="13" t="str">
        <x:v>Éderson</x:v>
      </x:c>
      <x:c r="B62" s="13" t="str">
        <x:v>Éderson José dos Santos Lourenço da Silva</x:v>
      </x:c>
      <x:c r="C62" s="13" t="str">
        <x:v>Mezzala direito</x:v>
      </x:c>
      <x:c r="D62" s="13" t="str">
        <x:v>Volante | Meia-armador</x:v>
      </x:c>
      <x:c r="E62" s="13" t="str">
        <x:v>Manchester United FC</x:v>
      </x:c>
      <x:c r="F62" s="13" t="str">
        <x:v>Observação</x:v>
      </x:c>
      <x:c r="G62" s="13" t="str">
        <x:v>Observação</x:v>
      </x:c>
      <x:c r="H62" s="26" t="n">
        <x:v>27</x:v>
      </x:c>
      <x:c r="I62" s="26" t="n">
        <x:v>31</x:v>
      </x:c>
      <x:c r="J62" s="16" t="n">
        <x:v>0</x:v>
      </x:c>
      <x:c r="K62" s="16" t="n">
        <x:v>0</x:v>
      </x:c>
      <x:c r="L62" s="16" t="n">
        <x:v>0</x:v>
      </x:c>
      <x:c r="M62" s="13" t="str"/>
      <x:c r="N62" s="13" t="str"/>
      <x:c r="O62" s="13" t="str"/>
      <x:c r="P62" s="13" t="str">
        <x:v>07/07/1999</x:v>
      </x:c>
      <x:c r="Q62" s="13" t="str">
        <x:v>Campo Grande, Brasil</x:v>
      </x:c>
      <x:c r="R62" s="16" t="n">
        <x:v>1.83</x:v>
      </x:c>
      <x:c r="S62" s="13" t="str">
        <x:v>Direito</x:v>
      </x:c>
      <x:c r="T62" s="13" t="str">
        <x:v>Brasil</x:v>
      </x:c>
      <x:c r="U62" s="13" t="str">
        <x:v>LINK SPORTS</x:v>
      </x:c>
      <x:c r="V62" s="13" t="str"/>
      <x:c r="W62" s="13" t="str"/>
      <x:c r="X62" s="13" t="str"/>
      <x:c r="Y62" s="13" t="str"/>
      <x:c r="Z62" s="13" t="str">
        <x:v>adidas</x:v>
      </x:c>
      <x:c r="AA62" s="13" t="str">
        <x:v>Médio Centro</x:v>
      </x:c>
      <x:c r="AB62" s="13" t="str">
        <x:v>Médio Defensivo | Médio Ofensivo</x:v>
      </x:c>
      <x:c r="AC62" s="16" t="n">
        <x:v>45</x:v>
      </x:c>
      <x:c r="AD62" s="16" t="n">
        <x:v>50</x:v>
      </x:c>
      <x:c r="AE62" s="18" t="n">
        <x:v>0.9</x:v>
      </x:c>
      <x:c r="AF62" s="16" t="n">
        <x:v>-5</x:v>
      </x:c>
      <x:c r="AG62" s="13" t="str">
        <x:v>17/12/2024</x:v>
      </x:c>
      <x:c r="AH62" s="13" t="str">
        <x:v>28/05/2026</x:v>
      </x:c>
    </x:row>
  </x:sheetData>
  <x:conditionalFormatting sqref="J2:L37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AE2:AE37">
    <x:cfRule type="dataBar" priority="2">
      <x:dataBar>
        <x:cfvo type="min"/>
        <x:cfvo type="max"/>
        <x:color rgb="FF22C55E"/>
      </x:dataBar>
      <x:extLst>
        <x:ext xmlns:x14="http://schemas.microsoft.com/office/spreadsheetml/2009/9/main" uri="{B025F937-C7B1-47D3-B67F-A62EFF666E3E}">
          <x14:id>{305407C7-DA12-8A17-76E6-E9CD9F1AB3FD}</x14:id>
        </x:ext>
      </x:extLst>
    </x:cfRule>
  </x:conditionalFormatting>
  <x:conditionalFormatting sqref="J38:L62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AE38:AE62">
    <x:cfRule type="dataBar" priority="4">
      <x:dataBar>
        <x:cfvo type="min"/>
        <x:cfvo type="max"/>
        <x:color rgb="FF22C55E"/>
      </x:dataBar>
      <x:extLst>
        <x:ext xmlns:x14="http://schemas.microsoft.com/office/spreadsheetml/2009/9/main" uri="{B025F937-C7B1-47D3-B67F-A62EFF666E3E}">
          <x14:id>{CA384FB4-CA37-25EC-A635-66162C680370}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d1c1ba84ba3a4c0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305407C7-DA12-8A17-76E6-E9CD9F1AB3FD}">
            <x14:dataBar gradient="1">
              <x14:cfvo type="min"/>
              <x14:cfvo type="max"/>
              <x14:fillColor rgb="FF22C55E"/>
            </x14:dataBar>
          </x14:cfRule>
          <xm:sqref>AE2:AE37</xm:sqref>
        </x14:conditionalFormatting>
        <x14:conditionalFormatting>
          <x14:cfRule type="dataBar" priority="4" id="{CA384FB4-CA37-25EC-A635-66162C680370}">
            <x14:dataBar gradient="1">
              <x14:cfvo type="min"/>
              <x14:cfvo type="max"/>
              <x14:fillColor rgb="FF22C55E"/>
            </x14:dataBar>
          </x14:cfRule>
          <xm:sqref>AE38:AE62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>
      <x:c r="A1" s="20" t="str">
        <x:v>Anos</x:v>
      </x:c>
      <x:c r="B1" s="20" t="str">
        <x:v>Trimestres</x:v>
      </x:c>
      <x:c r="C1" s="20" t="str">
        <x:v>Notas válidas</x:v>
      </x:c>
      <x:c r="D1" s="20" t="str">
        <x:v>Status de condição</x:v>
      </x:c>
      <x:c r="E1" s="20" t="str">
        <x:v>Posições oficiais</x:v>
      </x:c>
    </x:row>
    <x:row r="2">
      <x:c r="A2" t="n">
        <x:v>2026</x:v>
      </x:c>
      <x:c r="B2" t="str">
        <x:v>T1</x:v>
      </x:c>
      <x:c r="C2" s="22" t="n">
        <x:v>0</x:v>
      </x:c>
      <x:c r="D2" t="str">
        <x:v>Sem informação</x:v>
      </x:c>
      <x:c r="E2" t="str">
        <x:v>Goleiro</x:v>
      </x:c>
    </x:row>
    <x:row r="3">
      <x:c r="A3" t="n">
        <x:v>2027</x:v>
      </x:c>
      <x:c r="B3" t="str">
        <x:v>T2</x:v>
      </x:c>
      <x:c r="C3" s="22" t="n">
        <x:v>0.5</x:v>
      </x:c>
      <x:c r="D3" t="str">
        <x:v>Disponível</x:v>
      </x:c>
      <x:c r="E3" t="str">
        <x:v>Lateral-direito</x:v>
      </x:c>
    </x:row>
    <x:row r="4">
      <x:c r="A4" t="n">
        <x:v>2028</x:v>
      </x:c>
      <x:c r="B4" t="str">
        <x:v>T3</x:v>
      </x:c>
      <x:c r="C4" s="22" t="n">
        <x:v>1</x:v>
      </x:c>
      <x:c r="D4" t="str">
        <x:v>Em recuperação</x:v>
      </x:c>
      <x:c r="E4" t="str">
        <x:v>Lateral-esquerdo</x:v>
      </x:c>
    </x:row>
    <x:row r="5">
      <x:c r="A5" t="n">
        <x:v>2029</x:v>
      </x:c>
      <x:c r="B5" t="str">
        <x:v>T4</x:v>
      </x:c>
      <x:c r="C5" s="22" t="n">
        <x:v>1.5</x:v>
      </x:c>
      <x:c r="D5" t="str">
        <x:v>Lesionado</x:v>
      </x:c>
      <x:c r="E5" t="str">
        <x:v>Zagueiro</x:v>
      </x:c>
    </x:row>
    <x:row r="6">
      <x:c r="A6" t="n">
        <x:v>2030</x:v>
      </x:c>
      <x:c r="B6"/>
      <x:c r="C6" s="22" t="n">
        <x:v>2</x:v>
      </x:c>
      <x:c r="D6" t="str">
        <x:v>Carga controlada</x:v>
      </x:c>
      <x:c r="E6" t="str">
        <x:v>Volante</x:v>
      </x:c>
    </x:row>
    <x:row r="7">
      <x:c r="A7"/>
      <x:c r="B7"/>
      <x:c r="C7" s="22" t="n">
        <x:v>2.5</x:v>
      </x:c>
      <x:c r="D7"/>
      <x:c r="E7" t="str">
        <x:v>Mezzala esquerdo</x:v>
      </x:c>
    </x:row>
    <x:row r="8">
      <x:c r="A8"/>
      <x:c r="B8"/>
      <x:c r="C8" s="22" t="n">
        <x:v>3</x:v>
      </x:c>
      <x:c r="D8"/>
      <x:c r="E8" t="str">
        <x:v>Mezzala direito</x:v>
      </x:c>
    </x:row>
    <x:row r="9">
      <x:c r="A9"/>
      <x:c r="B9"/>
      <x:c r="C9" s="22" t="n">
        <x:v>3.5</x:v>
      </x:c>
      <x:c r="D9"/>
      <x:c r="E9" t="str">
        <x:v>Meia-esquerda</x:v>
      </x:c>
    </x:row>
    <x:row r="10">
      <x:c r="A10"/>
      <x:c r="B10"/>
      <x:c r="C10" s="22" t="n">
        <x:v>4</x:v>
      </x:c>
      <x:c r="D10"/>
      <x:c r="E10" t="str">
        <x:v>Meia-direita</x:v>
      </x:c>
    </x:row>
    <x:row r="11">
      <x:c r="A11"/>
      <x:c r="B11"/>
      <x:c r="C11" s="22" t="n">
        <x:v>4.5</x:v>
      </x:c>
      <x:c r="D11"/>
      <x:c r="E11" t="str">
        <x:v>Meia-armador</x:v>
      </x:c>
    </x:row>
    <x:row r="12">
      <x:c r="A12"/>
      <x:c r="B12"/>
      <x:c r="C12" s="22" t="n">
        <x:v>5</x:v>
      </x:c>
      <x:c r="D12"/>
      <x:c r="E12" t="str">
        <x:v>Ponta-esquerda</x:v>
      </x:c>
    </x:row>
    <x:row r="13">
      <x:c r="A13"/>
      <x:c r="B13"/>
      <x:c r="C13" s="22" t="n">
        <x:v>5.5</x:v>
      </x:c>
      <x:c r="D13"/>
      <x:c r="E13" t="str">
        <x:v>Ponta-direita</x:v>
      </x:c>
    </x:row>
    <x:row r="14">
      <x:c r="A14"/>
      <x:c r="B14"/>
      <x:c r="C14" s="22" t="n">
        <x:v>6</x:v>
      </x:c>
      <x:c r="D14"/>
      <x:c r="E14" t="str">
        <x:v>Segundo atacante</x:v>
      </x:c>
    </x:row>
    <x:row r="15">
      <x:c r="A15"/>
      <x:c r="B15"/>
      <x:c r="C15" s="22" t="n">
        <x:v>6.5</x:v>
      </x:c>
      <x:c r="D15"/>
      <x:c r="E15" t="str">
        <x:v>Centroavante</x:v>
      </x:c>
    </x:row>
    <x:row r="16">
      <x:c r="A16"/>
      <x:c r="B16"/>
      <x:c r="C16" s="22" t="n">
        <x:v>7</x:v>
      </x:c>
      <x:c r="D16"/>
      <x:c r="E16"/>
    </x:row>
    <x:row r="17">
      <x:c r="A17"/>
      <x:c r="B17"/>
      <x:c r="C17" s="22" t="n">
        <x:v>7.5</x:v>
      </x:c>
      <x:c r="D17"/>
      <x:c r="E17"/>
    </x:row>
    <x:row r="18">
      <x:c r="A18"/>
      <x:c r="B18"/>
      <x:c r="C18" s="22" t="n">
        <x:v>8</x:v>
      </x:c>
      <x:c r="D18"/>
      <x:c r="E18"/>
    </x:row>
    <x:row r="19">
      <x:c r="A19"/>
      <x:c r="B19"/>
      <x:c r="C19" s="22" t="n">
        <x:v>8.5</x:v>
      </x:c>
      <x:c r="D19"/>
      <x:c r="E19"/>
    </x:row>
    <x:row r="20">
      <x:c r="A20"/>
      <x:c r="B20"/>
      <x:c r="C20" s="22" t="n">
        <x:v>9</x:v>
      </x:c>
      <x:c r="D20"/>
      <x:c r="E20"/>
    </x:row>
    <x:row r="21">
      <x:c r="A21"/>
      <x:c r="B21"/>
      <x:c r="C21" s="22" t="n">
        <x:v>9.5</x:v>
      </x:c>
      <x:c r="D21"/>
      <x:c r="E21"/>
    </x:row>
    <x:row r="22">
      <x:c r="A22"/>
      <x:c r="B22"/>
      <x:c r="C22" s="22" t="n">
        <x:v>10</x:v>
      </x:c>
      <x:c r="D22"/>
      <x:c r="E2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0" hidden="0" customWidth="1"/>
    <x:col min="3" max="3" width="11" hidden="0" customWidth="1"/>
    <x:col min="4" max="4" width="16" hidden="0" customWidth="1"/>
    <x:col min="5" max="5" width="20" hidden="0" customWidth="1"/>
    <x:col min="6" max="6" width="24" hidden="0" customWidth="1"/>
    <x:col min="7" max="7" width="20" hidden="0" customWidth="1"/>
    <x:col min="8" max="8" width="17" hidden="0" customWidth="1"/>
    <x:col min="9" max="9" width="20" hidden="0" customWidth="1"/>
    <x:col min="10" max="10" width="17" hidden="0" customWidth="1"/>
    <x:col min="11" max="11" width="22" hidden="0" customWidth="1"/>
    <x:col min="12" max="12" width="19" hidden="0" customWidth="1"/>
    <x:col min="13" max="13" width="18" hidden="0" customWidth="1"/>
    <x:col min="14" max="14" width="27" hidden="0" customWidth="1"/>
    <x:col min="15" max="15" width="20" hidden="0" customWidth="1"/>
    <x:col min="16" max="16" width="16" hidden="0" customWidth="1"/>
    <x:col min="17" max="17" width="34" hidden="0" customWidth="1"/>
    <x:col min="18" max="18" width="34" hidden="0" customWidth="1"/>
    <x:col min="19" max="19" width="40" hidden="0" customWidth="1"/>
    <x:col min="20" max="20" width="36" hidden="0" customWidth="1"/>
  </x:cols>
  <x:sheetData>
    <x:row r="1" ht="44" customHeight="1">
      <x:c r="A1" s="66" t="str">
        <x:v>Atleta</x:v>
      </x:c>
      <x:c r="B1" s="66" t="str">
        <x:v>Ano</x:v>
      </x:c>
      <x:c r="C1" s="66" t="str">
        <x:v>Trimestre</x:v>
      </x:c>
      <x:c r="D1" s="66" t="str">
        <x:v>Data de referência</x:v>
      </x:c>
      <x:c r="E1" s="66" t="str">
        <x:v>Posição</x:v>
      </x:c>
      <x:c r="F1" s="66" t="str">
        <x:v>Clube</x:v>
      </x:c>
      <x:c r="G1" s="66" t="str">
        <x:v>Capacidade atual — Vini</x:v>
      </x:c>
      <x:c r="H1" s="66" t="str">
        <x:v>Potencial — Vini</x:v>
      </x:c>
      <x:c r="I1" s="66" t="str">
        <x:v>Capacidade atual — Beto</x:v>
      </x:c>
      <x:c r="J1" s="66" t="str">
        <x:v>Potencial — Beto</x:v>
      </x:c>
      <x:c r="K1" s="66" t="str">
        <x:v>Média da capacidade atual</x:v>
      </x:c>
      <x:c r="L1" s="66" t="str">
        <x:v>Média do potencial</x:v>
      </x:c>
      <x:c r="M1" s="66" t="str">
        <x:v>Margem de evolução</x:v>
      </x:c>
      <x:c r="N1" s="66" t="str">
        <x:v>Variação da capacidade atual vs. trimestre anterior</x:v>
      </x:c>
      <x:c r="O1" s="66" t="str">
        <x:v>Status de condição</x:v>
      </x:c>
      <x:c r="P1" s="66" t="str">
        <x:v>Jogos observados</x:v>
      </x:c>
      <x:c r="Q1" s="66" t="str">
        <x:v>Observações do Vini</x:v>
      </x:c>
      <x:c r="R1" s="66" t="str">
        <x:v>Observações do Beto</x:v>
      </x:c>
      <x:c r="S1" s="66" t="str">
        <x:v>Síntese da conversa Vini &amp; Beto</x:v>
      </x:c>
      <x:c r="T1" s="66" t="str">
        <x:v>Próxima ação / ponto de atenção</x:v>
      </x:c>
    </x:row>
    <x:row r="2">
      <x:c r="A2" s="13" t="str">
        <x:v>Alisson</x:v>
      </x:c>
      <x:c r="B2" s="13" t="n">
        <x:v>2026</x:v>
      </x:c>
      <x:c r="C2" s="13" t="str">
        <x:v>T1</x:v>
      </x:c>
      <x:c r="D2" s="24" t="n">
        <x:v>46112</x:v>
      </x:c>
      <x:c r="E2" s="13" t="str">
        <x:v>Goleiro</x:v>
      </x:c>
      <x:c r="F2" s="13" t="str">
        <x:v>Liverpool FC</x:v>
      </x:c>
      <x:c r="G2" s="16"/>
      <x:c r="H2" s="16"/>
      <x:c r="I2" s="16"/>
      <x:c r="J2" s="16"/>
      <x:c r="K2" s="16" t="str">
        <x:f>IF(COUNT(G2,I2)=0,"",AVERAGE(G2,I2))</x:f>
      </x:c>
      <x:c r="L2" s="16" t="str">
        <x:f>IF(COUNT(H2,J2)=0,"",AVERAGE(H2,J2))</x:f>
      </x:c>
      <x:c r="M2" s="16" t="str">
        <x:f>IF(OR(K2="",L2=""),"",L2-K2)</x:f>
      </x:c>
      <x:c r="N2" s="16" t="str">
        <x:f>""</x:f>
      </x:c>
      <x:c r="O2" s="13" t="str">
        <x:v>Sem informação</x:v>
      </x:c>
      <x:c r="P2" s="26"/>
      <x:c r="Q2" s="13"/>
      <x:c r="R2" s="13"/>
      <x:c r="S2" s="13"/>
      <x:c r="T2" s="13"/>
    </x:row>
    <x:row r="3">
      <x:c r="A3" s="13" t="str">
        <x:v>Alisson</x:v>
      </x:c>
      <x:c r="B3" s="13" t="n">
        <x:v>2026</x:v>
      </x:c>
      <x:c r="C3" s="13" t="str">
        <x:v>T2</x:v>
      </x:c>
      <x:c r="D3" s="24" t="n">
        <x:v>46203</x:v>
      </x:c>
      <x:c r="E3" s="13" t="str">
        <x:v>Goleiro</x:v>
      </x:c>
      <x:c r="F3" s="13" t="str">
        <x:v>Liverpool FC</x:v>
      </x:c>
      <x:c r="G3" s="16"/>
      <x:c r="H3" s="16"/>
      <x:c r="I3" s="16"/>
      <x:c r="J3" s="16"/>
      <x:c r="K3" s="16" t="str">
        <x:f>IF(COUNT(G3,I3)=0,"",AVERAGE(G3,I3))</x:f>
      </x:c>
      <x:c r="L3" s="16" t="str">
        <x:f>IF(COUNT(H3,J3)=0,"",AVERAGE(H3,J3))</x:f>
      </x:c>
      <x:c r="M3" s="16" t="str">
        <x:f>IF(OR(K3="",L3=""),"",L3-K3)</x:f>
      </x:c>
      <x:c r="N3" s="16" t="str">
        <x:f>IF(AND(A3=A2,ISNUMBER(K3),ISNUMBER(K2)),K3-K2,"")</x:f>
      </x:c>
      <x:c r="O3" s="13" t="str">
        <x:v>Sem informação</x:v>
      </x:c>
      <x:c r="P3" s="26"/>
      <x:c r="Q3" s="13"/>
      <x:c r="R3" s="13"/>
      <x:c r="S3" s="13"/>
      <x:c r="T3" s="13"/>
    </x:row>
    <x:row r="4">
      <x:c r="A4" s="13" t="str">
        <x:v>Alisson</x:v>
      </x:c>
      <x:c r="B4" s="13" t="n">
        <x:v>2026</x:v>
      </x:c>
      <x:c r="C4" s="13" t="str">
        <x:v>T3</x:v>
      </x:c>
      <x:c r="D4" s="24" t="n">
        <x:v>46295</x:v>
      </x:c>
      <x:c r="E4" s="13" t="str">
        <x:v>Goleiro</x:v>
      </x:c>
      <x:c r="F4" s="13" t="str">
        <x:v>Liverpool FC</x:v>
      </x:c>
      <x:c r="G4" s="16"/>
      <x:c r="H4" s="16"/>
      <x:c r="I4" s="16"/>
      <x:c r="J4" s="16"/>
      <x:c r="K4" s="16" t="str">
        <x:f>IF(COUNT(G4,I4)=0,"",AVERAGE(G4,I4))</x:f>
      </x:c>
      <x:c r="L4" s="16" t="str">
        <x:f>IF(COUNT(H4,J4)=0,"",AVERAGE(H4,J4))</x:f>
      </x:c>
      <x:c r="M4" s="16" t="str">
        <x:f>IF(OR(K4="",L4=""),"",L4-K4)</x:f>
      </x:c>
      <x:c r="N4" s="16" t="str">
        <x:f>IF(AND(A4=A3,ISNUMBER(K4),ISNUMBER(K3)),K4-K3,"")</x:f>
      </x:c>
      <x:c r="O4" s="13" t="str">
        <x:v>Sem informação</x:v>
      </x:c>
      <x:c r="P4" s="26"/>
      <x:c r="Q4" s="13"/>
      <x:c r="R4" s="13"/>
      <x:c r="S4" s="13"/>
      <x:c r="T4" s="13"/>
    </x:row>
    <x:row r="5">
      <x:c r="A5" s="13" t="str">
        <x:v>Alisson</x:v>
      </x:c>
      <x:c r="B5" s="13" t="n">
        <x:v>2026</x:v>
      </x:c>
      <x:c r="C5" s="13" t="str">
        <x:v>T4</x:v>
      </x:c>
      <x:c r="D5" s="24" t="n">
        <x:v>46387</x:v>
      </x:c>
      <x:c r="E5" s="13" t="str">
        <x:v>Goleiro</x:v>
      </x:c>
      <x:c r="F5" s="13" t="str">
        <x:v>Liverpool FC</x:v>
      </x:c>
      <x:c r="G5" s="16"/>
      <x:c r="H5" s="16"/>
      <x:c r="I5" s="16"/>
      <x:c r="J5" s="16"/>
      <x:c r="K5" s="16" t="str">
        <x:f>IF(COUNT(G5,I5)=0,"",AVERAGE(G5,I5))</x:f>
      </x:c>
      <x:c r="L5" s="16" t="str">
        <x:f>IF(COUNT(H5,J5)=0,"",AVERAGE(H5,J5))</x:f>
      </x:c>
      <x:c r="M5" s="16" t="str">
        <x:f>IF(OR(K5="",L5=""),"",L5-K5)</x:f>
      </x:c>
      <x:c r="N5" s="16" t="str">
        <x:f>IF(AND(A5=A4,ISNUMBER(K5),ISNUMBER(K4)),K5-K4,"")</x:f>
      </x:c>
      <x:c r="O5" s="13" t="str">
        <x:v>Sem informação</x:v>
      </x:c>
      <x:c r="P5" s="26"/>
      <x:c r="Q5" s="13"/>
      <x:c r="R5" s="13"/>
      <x:c r="S5" s="13"/>
      <x:c r="T5" s="13"/>
    </x:row>
    <x:row r="6">
      <x:c r="A6" s="13" t="str">
        <x:v>Alisson</x:v>
      </x:c>
      <x:c r="B6" s="13" t="n">
        <x:v>2027</x:v>
      </x:c>
      <x:c r="C6" s="13" t="str">
        <x:v>T1</x:v>
      </x:c>
      <x:c r="D6" s="24" t="n">
        <x:v>46477</x:v>
      </x:c>
      <x:c r="E6" s="13" t="str">
        <x:v>Goleiro</x:v>
      </x:c>
      <x:c r="F6" s="13" t="str">
        <x:v>Liverpool FC</x:v>
      </x:c>
      <x:c r="G6" s="16"/>
      <x:c r="H6" s="16"/>
      <x:c r="I6" s="16"/>
      <x:c r="J6" s="16"/>
      <x:c r="K6" s="16" t="str">
        <x:f>IF(COUNT(G6,I6)=0,"",AVERAGE(G6,I6))</x:f>
      </x:c>
      <x:c r="L6" s="16" t="str">
        <x:f>IF(COUNT(H6,J6)=0,"",AVERAGE(H6,J6))</x:f>
      </x:c>
      <x:c r="M6" s="16" t="str">
        <x:f>IF(OR(K6="",L6=""),"",L6-K6)</x:f>
      </x:c>
      <x:c r="N6" s="16" t="str">
        <x:f>IF(AND(A6=A5,ISNUMBER(K6),ISNUMBER(K5)),K6-K5,"")</x:f>
      </x:c>
      <x:c r="O6" s="13" t="str">
        <x:v>Sem informação</x:v>
      </x:c>
      <x:c r="P6" s="26"/>
      <x:c r="Q6" s="13"/>
      <x:c r="R6" s="13"/>
      <x:c r="S6" s="13"/>
      <x:c r="T6" s="13"/>
    </x:row>
    <x:row r="7">
      <x:c r="A7" s="13" t="str">
        <x:v>Alisson</x:v>
      </x:c>
      <x:c r="B7" s="13" t="n">
        <x:v>2027</x:v>
      </x:c>
      <x:c r="C7" s="13" t="str">
        <x:v>T2</x:v>
      </x:c>
      <x:c r="D7" s="24" t="n">
        <x:v>46568</x:v>
      </x:c>
      <x:c r="E7" s="13" t="str">
        <x:v>Goleiro</x:v>
      </x:c>
      <x:c r="F7" s="13" t="str">
        <x:v>Liverpool FC</x:v>
      </x:c>
      <x:c r="G7" s="16"/>
      <x:c r="H7" s="16"/>
      <x:c r="I7" s="16"/>
      <x:c r="J7" s="16"/>
      <x:c r="K7" s="16" t="str">
        <x:f>IF(COUNT(G7,I7)=0,"",AVERAGE(G7,I7))</x:f>
      </x:c>
      <x:c r="L7" s="16" t="str">
        <x:f>IF(COUNT(H7,J7)=0,"",AVERAGE(H7,J7))</x:f>
      </x:c>
      <x:c r="M7" s="16" t="str">
        <x:f>IF(OR(K7="",L7=""),"",L7-K7)</x:f>
      </x:c>
      <x:c r="N7" s="16" t="str">
        <x:f>IF(AND(A7=A6,ISNUMBER(K7),ISNUMBER(K6)),K7-K6,"")</x:f>
      </x:c>
      <x:c r="O7" s="13" t="str">
        <x:v>Sem informação</x:v>
      </x:c>
      <x:c r="P7" s="26"/>
      <x:c r="Q7" s="13"/>
      <x:c r="R7" s="13"/>
      <x:c r="S7" s="13"/>
      <x:c r="T7" s="13"/>
    </x:row>
    <x:row r="8">
      <x:c r="A8" s="13" t="str">
        <x:v>Alisson</x:v>
      </x:c>
      <x:c r="B8" s="13" t="n">
        <x:v>2027</x:v>
      </x:c>
      <x:c r="C8" s="13" t="str">
        <x:v>T3</x:v>
      </x:c>
      <x:c r="D8" s="24" t="n">
        <x:v>46660</x:v>
      </x:c>
      <x:c r="E8" s="13" t="str">
        <x:v>Goleiro</x:v>
      </x:c>
      <x:c r="F8" s="13" t="str">
        <x:v>Liverpool FC</x:v>
      </x:c>
      <x:c r="G8" s="16"/>
      <x:c r="H8" s="16"/>
      <x:c r="I8" s="16"/>
      <x:c r="J8" s="16"/>
      <x:c r="K8" s="16" t="str">
        <x:f>IF(COUNT(G8,I8)=0,"",AVERAGE(G8,I8))</x:f>
      </x:c>
      <x:c r="L8" s="16" t="str">
        <x:f>IF(COUNT(H8,J8)=0,"",AVERAGE(H8,J8))</x:f>
      </x:c>
      <x:c r="M8" s="16" t="str">
        <x:f>IF(OR(K8="",L8=""),"",L8-K8)</x:f>
      </x:c>
      <x:c r="N8" s="16" t="str">
        <x:f>IF(AND(A8=A7,ISNUMBER(K8),ISNUMBER(K7)),K8-K7,"")</x:f>
      </x:c>
      <x:c r="O8" s="13" t="str">
        <x:v>Sem informação</x:v>
      </x:c>
      <x:c r="P8" s="26"/>
      <x:c r="Q8" s="13"/>
      <x:c r="R8" s="13"/>
      <x:c r="S8" s="13"/>
      <x:c r="T8" s="13"/>
    </x:row>
    <x:row r="9">
      <x:c r="A9" s="13" t="str">
        <x:v>Alisson</x:v>
      </x:c>
      <x:c r="B9" s="13" t="n">
        <x:v>2027</x:v>
      </x:c>
      <x:c r="C9" s="13" t="str">
        <x:v>T4</x:v>
      </x:c>
      <x:c r="D9" s="24" t="n">
        <x:v>46752</x:v>
      </x:c>
      <x:c r="E9" s="13" t="str">
        <x:v>Goleiro</x:v>
      </x:c>
      <x:c r="F9" s="13" t="str">
        <x:v>Liverpool FC</x:v>
      </x:c>
      <x:c r="G9" s="16"/>
      <x:c r="H9" s="16"/>
      <x:c r="I9" s="16"/>
      <x:c r="J9" s="16"/>
      <x:c r="K9" s="16" t="str">
        <x:f>IF(COUNT(G9,I9)=0,"",AVERAGE(G9,I9))</x:f>
      </x:c>
      <x:c r="L9" s="16" t="str">
        <x:f>IF(COUNT(H9,J9)=0,"",AVERAGE(H9,J9))</x:f>
      </x:c>
      <x:c r="M9" s="16" t="str">
        <x:f>IF(OR(K9="",L9=""),"",L9-K9)</x:f>
      </x:c>
      <x:c r="N9" s="16" t="str">
        <x:f>IF(AND(A9=A8,ISNUMBER(K9),ISNUMBER(K8)),K9-K8,"")</x:f>
      </x:c>
      <x:c r="O9" s="13" t="str">
        <x:v>Sem informação</x:v>
      </x:c>
      <x:c r="P9" s="26"/>
      <x:c r="Q9" s="13"/>
      <x:c r="R9" s="13"/>
      <x:c r="S9" s="13"/>
      <x:c r="T9" s="13"/>
    </x:row>
    <x:row r="10">
      <x:c r="A10" s="13" t="str">
        <x:v>Alisson</x:v>
      </x:c>
      <x:c r="B10" s="13" t="n">
        <x:v>2028</x:v>
      </x:c>
      <x:c r="C10" s="13" t="str">
        <x:v>T1</x:v>
      </x:c>
      <x:c r="D10" s="24" t="n">
        <x:v>46843</x:v>
      </x:c>
      <x:c r="E10" s="13" t="str">
        <x:v>Goleiro</x:v>
      </x:c>
      <x:c r="F10" s="13" t="str">
        <x:v>Liverpool FC</x:v>
      </x:c>
      <x:c r="G10" s="16"/>
      <x:c r="H10" s="16"/>
      <x:c r="I10" s="16"/>
      <x:c r="J10" s="16"/>
      <x:c r="K10" s="16" t="str">
        <x:f>IF(COUNT(G10,I10)=0,"",AVERAGE(G10,I10))</x:f>
      </x:c>
      <x:c r="L10" s="16" t="str">
        <x:f>IF(COUNT(H10,J10)=0,"",AVERAGE(H10,J10))</x:f>
      </x:c>
      <x:c r="M10" s="16" t="str">
        <x:f>IF(OR(K10="",L10=""),"",L10-K10)</x:f>
      </x:c>
      <x:c r="N10" s="16" t="str">
        <x:f>IF(AND(A10=A9,ISNUMBER(K10),ISNUMBER(K9)),K10-K9,"")</x:f>
      </x:c>
      <x:c r="O10" s="13" t="str">
        <x:v>Sem informação</x:v>
      </x:c>
      <x:c r="P10" s="26"/>
      <x:c r="Q10" s="13"/>
      <x:c r="R10" s="13"/>
      <x:c r="S10" s="13"/>
      <x:c r="T10" s="13"/>
    </x:row>
    <x:row r="11">
      <x:c r="A11" s="13" t="str">
        <x:v>Alisson</x:v>
      </x:c>
      <x:c r="B11" s="13" t="n">
        <x:v>2028</x:v>
      </x:c>
      <x:c r="C11" s="13" t="str">
        <x:v>T2</x:v>
      </x:c>
      <x:c r="D11" s="24" t="n">
        <x:v>46934</x:v>
      </x:c>
      <x:c r="E11" s="13" t="str">
        <x:v>Goleiro</x:v>
      </x:c>
      <x:c r="F11" s="13" t="str">
        <x:v>Liverpool FC</x:v>
      </x:c>
      <x:c r="G11" s="16"/>
      <x:c r="H11" s="16"/>
      <x:c r="I11" s="16"/>
      <x:c r="J11" s="16"/>
      <x:c r="K11" s="16" t="str">
        <x:f>IF(COUNT(G11,I11)=0,"",AVERAGE(G11,I11))</x:f>
      </x:c>
      <x:c r="L11" s="16" t="str">
        <x:f>IF(COUNT(H11,J11)=0,"",AVERAGE(H11,J11))</x:f>
      </x:c>
      <x:c r="M11" s="16" t="str">
        <x:f>IF(OR(K11="",L11=""),"",L11-K11)</x:f>
      </x:c>
      <x:c r="N11" s="16" t="str">
        <x:f>IF(AND(A11=A10,ISNUMBER(K11),ISNUMBER(K10)),K11-K10,"")</x:f>
      </x:c>
      <x:c r="O11" s="13" t="str">
        <x:v>Sem informação</x:v>
      </x:c>
      <x:c r="P11" s="26"/>
      <x:c r="Q11" s="13"/>
      <x:c r="R11" s="13"/>
      <x:c r="S11" s="13"/>
      <x:c r="T11" s="13"/>
    </x:row>
    <x:row r="12">
      <x:c r="A12" s="13" t="str">
        <x:v>Alisson</x:v>
      </x:c>
      <x:c r="B12" s="13" t="n">
        <x:v>2028</x:v>
      </x:c>
      <x:c r="C12" s="13" t="str">
        <x:v>T3</x:v>
      </x:c>
      <x:c r="D12" s="24" t="n">
        <x:v>47026</x:v>
      </x:c>
      <x:c r="E12" s="13" t="str">
        <x:v>Goleiro</x:v>
      </x:c>
      <x:c r="F12" s="13" t="str">
        <x:v>Liverpool FC</x:v>
      </x:c>
      <x:c r="G12" s="16"/>
      <x:c r="H12" s="16"/>
      <x:c r="I12" s="16"/>
      <x:c r="J12" s="16"/>
      <x:c r="K12" s="16" t="str">
        <x:f>IF(COUNT(G12,I12)=0,"",AVERAGE(G12,I12))</x:f>
      </x:c>
      <x:c r="L12" s="16" t="str">
        <x:f>IF(COUNT(H12,J12)=0,"",AVERAGE(H12,J12))</x:f>
      </x:c>
      <x:c r="M12" s="16" t="str">
        <x:f>IF(OR(K12="",L12=""),"",L12-K12)</x:f>
      </x:c>
      <x:c r="N12" s="16" t="str">
        <x:f>IF(AND(A12=A11,ISNUMBER(K12),ISNUMBER(K11)),K12-K11,"")</x:f>
      </x:c>
      <x:c r="O12" s="13" t="str">
        <x:v>Sem informação</x:v>
      </x:c>
      <x:c r="P12" s="26"/>
      <x:c r="Q12" s="13"/>
      <x:c r="R12" s="13"/>
      <x:c r="S12" s="13"/>
      <x:c r="T12" s="13"/>
    </x:row>
    <x:row r="13">
      <x:c r="A13" s="13" t="str">
        <x:v>Alisson</x:v>
      </x:c>
      <x:c r="B13" s="13" t="n">
        <x:v>2028</x:v>
      </x:c>
      <x:c r="C13" s="13" t="str">
        <x:v>T4</x:v>
      </x:c>
      <x:c r="D13" s="24" t="n">
        <x:v>47118</x:v>
      </x:c>
      <x:c r="E13" s="13" t="str">
        <x:v>Goleiro</x:v>
      </x:c>
      <x:c r="F13" s="13" t="str">
        <x:v>Liverpool FC</x:v>
      </x:c>
      <x:c r="G13" s="16"/>
      <x:c r="H13" s="16"/>
      <x:c r="I13" s="16"/>
      <x:c r="J13" s="16"/>
      <x:c r="K13" s="16" t="str">
        <x:f>IF(COUNT(G13,I13)=0,"",AVERAGE(G13,I13))</x:f>
      </x:c>
      <x:c r="L13" s="16" t="str">
        <x:f>IF(COUNT(H13,J13)=0,"",AVERAGE(H13,J13))</x:f>
      </x:c>
      <x:c r="M13" s="16" t="str">
        <x:f>IF(OR(K13="",L13=""),"",L13-K13)</x:f>
      </x:c>
      <x:c r="N13" s="16" t="str">
        <x:f>IF(AND(A13=A12,ISNUMBER(K13),ISNUMBER(K12)),K13-K12,"")</x:f>
      </x:c>
      <x:c r="O13" s="13" t="str">
        <x:v>Sem informação</x:v>
      </x:c>
      <x:c r="P13" s="26"/>
      <x:c r="Q13" s="13"/>
      <x:c r="R13" s="13"/>
      <x:c r="S13" s="13"/>
      <x:c r="T13" s="13"/>
    </x:row>
    <x:row r="14">
      <x:c r="A14" s="13" t="str">
        <x:v>Alisson</x:v>
      </x:c>
      <x:c r="B14" s="13" t="n">
        <x:v>2029</x:v>
      </x:c>
      <x:c r="C14" s="13" t="str">
        <x:v>T1</x:v>
      </x:c>
      <x:c r="D14" s="24" t="n">
        <x:v>47208</x:v>
      </x:c>
      <x:c r="E14" s="13" t="str">
        <x:v>Goleiro</x:v>
      </x:c>
      <x:c r="F14" s="13" t="str">
        <x:v>Liverpool FC</x:v>
      </x:c>
      <x:c r="G14" s="16"/>
      <x:c r="H14" s="16"/>
      <x:c r="I14" s="16"/>
      <x:c r="J14" s="16"/>
      <x:c r="K14" s="16" t="str">
        <x:f>IF(COUNT(G14,I14)=0,"",AVERAGE(G14,I14))</x:f>
      </x:c>
      <x:c r="L14" s="16" t="str">
        <x:f>IF(COUNT(H14,J14)=0,"",AVERAGE(H14,J14))</x:f>
      </x:c>
      <x:c r="M14" s="16" t="str">
        <x:f>IF(OR(K14="",L14=""),"",L14-K14)</x:f>
      </x:c>
      <x:c r="N14" s="16" t="str">
        <x:f>IF(AND(A14=A13,ISNUMBER(K14),ISNUMBER(K13)),K14-K13,"")</x:f>
      </x:c>
      <x:c r="O14" s="13" t="str">
        <x:v>Sem informação</x:v>
      </x:c>
      <x:c r="P14" s="26"/>
      <x:c r="Q14" s="13"/>
      <x:c r="R14" s="13"/>
      <x:c r="S14" s="13"/>
      <x:c r="T14" s="13"/>
    </x:row>
    <x:row r="15">
      <x:c r="A15" s="13" t="str">
        <x:v>Alisson</x:v>
      </x:c>
      <x:c r="B15" s="13" t="n">
        <x:v>2029</x:v>
      </x:c>
      <x:c r="C15" s="13" t="str">
        <x:v>T2</x:v>
      </x:c>
      <x:c r="D15" s="24" t="n">
        <x:v>47299</x:v>
      </x:c>
      <x:c r="E15" s="13" t="str">
        <x:v>Goleiro</x:v>
      </x:c>
      <x:c r="F15" s="13" t="str">
        <x:v>Liverpool FC</x:v>
      </x:c>
      <x:c r="G15" s="16"/>
      <x:c r="H15" s="16"/>
      <x:c r="I15" s="16"/>
      <x:c r="J15" s="16"/>
      <x:c r="K15" s="16" t="str">
        <x:f>IF(COUNT(G15,I15)=0,"",AVERAGE(G15,I15))</x:f>
      </x:c>
      <x:c r="L15" s="16" t="str">
        <x:f>IF(COUNT(H15,J15)=0,"",AVERAGE(H15,J15))</x:f>
      </x:c>
      <x:c r="M15" s="16" t="str">
        <x:f>IF(OR(K15="",L15=""),"",L15-K15)</x:f>
      </x:c>
      <x:c r="N15" s="16" t="str">
        <x:f>IF(AND(A15=A14,ISNUMBER(K15),ISNUMBER(K14)),K15-K14,"")</x:f>
      </x:c>
      <x:c r="O15" s="13" t="str">
        <x:v>Sem informação</x:v>
      </x:c>
      <x:c r="P15" s="26"/>
      <x:c r="Q15" s="13"/>
      <x:c r="R15" s="13"/>
      <x:c r="S15" s="13"/>
      <x:c r="T15" s="13"/>
    </x:row>
    <x:row r="16">
      <x:c r="A16" s="13" t="str">
        <x:v>Alisson</x:v>
      </x:c>
      <x:c r="B16" s="13" t="n">
        <x:v>2029</x:v>
      </x:c>
      <x:c r="C16" s="13" t="str">
        <x:v>T3</x:v>
      </x:c>
      <x:c r="D16" s="24" t="n">
        <x:v>47391</x:v>
      </x:c>
      <x:c r="E16" s="13" t="str">
        <x:v>Goleiro</x:v>
      </x:c>
      <x:c r="F16" s="13" t="str">
        <x:v>Liverpool FC</x:v>
      </x:c>
      <x:c r="G16" s="16"/>
      <x:c r="H16" s="16"/>
      <x:c r="I16" s="16"/>
      <x:c r="J16" s="16"/>
      <x:c r="K16" s="16" t="str">
        <x:f>IF(COUNT(G16,I16)=0,"",AVERAGE(G16,I16))</x:f>
      </x:c>
      <x:c r="L16" s="16" t="str">
        <x:f>IF(COUNT(H16,J16)=0,"",AVERAGE(H16,J16))</x:f>
      </x:c>
      <x:c r="M16" s="16" t="str">
        <x:f>IF(OR(K16="",L16=""),"",L16-K16)</x:f>
      </x:c>
      <x:c r="N16" s="16" t="str">
        <x:f>IF(AND(A16=A15,ISNUMBER(K16),ISNUMBER(K15)),K16-K15,"")</x:f>
      </x:c>
      <x:c r="O16" s="13" t="str">
        <x:v>Sem informação</x:v>
      </x:c>
      <x:c r="P16" s="26"/>
      <x:c r="Q16" s="13"/>
      <x:c r="R16" s="13"/>
      <x:c r="S16" s="13"/>
      <x:c r="T16" s="13"/>
    </x:row>
    <x:row r="17">
      <x:c r="A17" s="13" t="str">
        <x:v>Alisson</x:v>
      </x:c>
      <x:c r="B17" s="13" t="n">
        <x:v>2029</x:v>
      </x:c>
      <x:c r="C17" s="13" t="str">
        <x:v>T4</x:v>
      </x:c>
      <x:c r="D17" s="24" t="n">
        <x:v>47483</x:v>
      </x:c>
      <x:c r="E17" s="13" t="str">
        <x:v>Goleiro</x:v>
      </x:c>
      <x:c r="F17" s="13" t="str">
        <x:v>Liverpool FC</x:v>
      </x:c>
      <x:c r="G17" s="16"/>
      <x:c r="H17" s="16"/>
      <x:c r="I17" s="16"/>
      <x:c r="J17" s="16"/>
      <x:c r="K17" s="16" t="str">
        <x:f>IF(COUNT(G17,I17)=0,"",AVERAGE(G17,I17))</x:f>
      </x:c>
      <x:c r="L17" s="16" t="str">
        <x:f>IF(COUNT(H17,J17)=0,"",AVERAGE(H17,J17))</x:f>
      </x:c>
      <x:c r="M17" s="16" t="str">
        <x:f>IF(OR(K17="",L17=""),"",L17-K17)</x:f>
      </x:c>
      <x:c r="N17" s="16" t="str">
        <x:f>IF(AND(A17=A16,ISNUMBER(K17),ISNUMBER(K16)),K17-K16,"")</x:f>
      </x:c>
      <x:c r="O17" s="13" t="str">
        <x:v>Sem informação</x:v>
      </x:c>
      <x:c r="P17" s="26"/>
      <x:c r="Q17" s="13"/>
      <x:c r="R17" s="13"/>
      <x:c r="S17" s="13"/>
      <x:c r="T17" s="13"/>
    </x:row>
    <x:row r="18">
      <x:c r="A18" s="13" t="str">
        <x:v>Alisson</x:v>
      </x:c>
      <x:c r="B18" s="13" t="n">
        <x:v>2030</x:v>
      </x:c>
      <x:c r="C18" s="13" t="str">
        <x:v>T1</x:v>
      </x:c>
      <x:c r="D18" s="24" t="n">
        <x:v>47573</x:v>
      </x:c>
      <x:c r="E18" s="13" t="str">
        <x:v>Goleiro</x:v>
      </x:c>
      <x:c r="F18" s="13" t="str">
        <x:v>Liverpool FC</x:v>
      </x:c>
      <x:c r="G18" s="16"/>
      <x:c r="H18" s="16"/>
      <x:c r="I18" s="16"/>
      <x:c r="J18" s="16"/>
      <x:c r="K18" s="16" t="str">
        <x:f>IF(COUNT(G18,I18)=0,"",AVERAGE(G18,I18))</x:f>
      </x:c>
      <x:c r="L18" s="16" t="str">
        <x:f>IF(COUNT(H18,J18)=0,"",AVERAGE(H18,J18))</x:f>
      </x:c>
      <x:c r="M18" s="16" t="str">
        <x:f>IF(OR(K18="",L18=""),"",L18-K18)</x:f>
      </x:c>
      <x:c r="N18" s="16" t="str">
        <x:f>IF(AND(A18=A17,ISNUMBER(K18),ISNUMBER(K17)),K18-K17,"")</x:f>
      </x:c>
      <x:c r="O18" s="13" t="str">
        <x:v>Sem informação</x:v>
      </x:c>
      <x:c r="P18" s="26"/>
      <x:c r="Q18" s="13"/>
      <x:c r="R18" s="13"/>
      <x:c r="S18" s="13"/>
      <x:c r="T18" s="13"/>
    </x:row>
    <x:row r="19">
      <x:c r="A19" s="13" t="str">
        <x:v>Alisson</x:v>
      </x:c>
      <x:c r="B19" s="13" t="n">
        <x:v>2030</x:v>
      </x:c>
      <x:c r="C19" s="13" t="str">
        <x:v>T2</x:v>
      </x:c>
      <x:c r="D19" s="24" t="n">
        <x:v>47664</x:v>
      </x:c>
      <x:c r="E19" s="13" t="str">
        <x:v>Goleiro</x:v>
      </x:c>
      <x:c r="F19" s="13" t="str">
        <x:v>Liverpool FC</x:v>
      </x:c>
      <x:c r="G19" s="16"/>
      <x:c r="H19" s="16"/>
      <x:c r="I19" s="16"/>
      <x:c r="J19" s="16"/>
      <x:c r="K19" s="16" t="str">
        <x:f>IF(COUNT(G19,I19)=0,"",AVERAGE(G19,I19))</x:f>
      </x:c>
      <x:c r="L19" s="16" t="str">
        <x:f>IF(COUNT(H19,J19)=0,"",AVERAGE(H19,J19))</x:f>
      </x:c>
      <x:c r="M19" s="16" t="str">
        <x:f>IF(OR(K19="",L19=""),"",L19-K19)</x:f>
      </x:c>
      <x:c r="N19" s="16" t="str">
        <x:f>IF(AND(A19=A18,ISNUMBER(K19),ISNUMBER(K18)),K19-K18,"")</x:f>
      </x:c>
      <x:c r="O19" s="13" t="str">
        <x:v>Sem informação</x:v>
      </x:c>
      <x:c r="P19" s="26"/>
      <x:c r="Q19" s="13"/>
      <x:c r="R19" s="13"/>
      <x:c r="S19" s="13"/>
      <x:c r="T19" s="13"/>
    </x:row>
    <x:row r="20">
      <x:c r="A20" s="13" t="str">
        <x:v>Alisson</x:v>
      </x:c>
      <x:c r="B20" s="13" t="n">
        <x:v>2030</x:v>
      </x:c>
      <x:c r="C20" s="13" t="str">
        <x:v>T3</x:v>
      </x:c>
      <x:c r="D20" s="24" t="n">
        <x:v>47756</x:v>
      </x:c>
      <x:c r="E20" s="13" t="str">
        <x:v>Goleiro</x:v>
      </x:c>
      <x:c r="F20" s="13" t="str">
        <x:v>Liverpool FC</x:v>
      </x:c>
      <x:c r="G20" s="16"/>
      <x:c r="H20" s="16"/>
      <x:c r="I20" s="16"/>
      <x:c r="J20" s="16"/>
      <x:c r="K20" s="16" t="str">
        <x:f>IF(COUNT(G20,I20)=0,"",AVERAGE(G20,I20))</x:f>
      </x:c>
      <x:c r="L20" s="16" t="str">
        <x:f>IF(COUNT(H20,J20)=0,"",AVERAGE(H20,J20))</x:f>
      </x:c>
      <x:c r="M20" s="16" t="str">
        <x:f>IF(OR(K20="",L20=""),"",L20-K20)</x:f>
      </x:c>
      <x:c r="N20" s="16" t="str">
        <x:f>IF(AND(A20=A19,ISNUMBER(K20),ISNUMBER(K19)),K20-K19,"")</x:f>
      </x:c>
      <x:c r="O20" s="13" t="str">
        <x:v>Sem informação</x:v>
      </x:c>
      <x:c r="P20" s="26"/>
      <x:c r="Q20" s="13"/>
      <x:c r="R20" s="13"/>
      <x:c r="S20" s="13"/>
      <x:c r="T20" s="13"/>
    </x:row>
    <x:row r="21">
      <x:c r="A21" s="13" t="str">
        <x:v>Alisson</x:v>
      </x:c>
      <x:c r="B21" s="13" t="n">
        <x:v>2030</x:v>
      </x:c>
      <x:c r="C21" s="13" t="str">
        <x:v>T4</x:v>
      </x:c>
      <x:c r="D21" s="24" t="n">
        <x:v>47848</x:v>
      </x:c>
      <x:c r="E21" s="13" t="str">
        <x:v>Goleiro</x:v>
      </x:c>
      <x:c r="F21" s="13" t="str">
        <x:v>Liverpool FC</x:v>
      </x:c>
      <x:c r="G21" s="16"/>
      <x:c r="H21" s="16"/>
      <x:c r="I21" s="16"/>
      <x:c r="J21" s="16"/>
      <x:c r="K21" s="16" t="str">
        <x:f>IF(COUNT(G21,I21)=0,"",AVERAGE(G21,I21))</x:f>
      </x:c>
      <x:c r="L21" s="16" t="str">
        <x:f>IF(COUNT(H21,J21)=0,"",AVERAGE(H21,J21))</x:f>
      </x:c>
      <x:c r="M21" s="16" t="str">
        <x:f>IF(OR(K21="",L21=""),"",L21-K21)</x:f>
      </x:c>
      <x:c r="N21" s="16" t="str">
        <x:f>IF(AND(A21=A20,ISNUMBER(K21),ISNUMBER(K20)),K21-K20,"")</x:f>
      </x:c>
      <x:c r="O21" s="13" t="str">
        <x:v>Sem informação</x:v>
      </x:c>
      <x:c r="P21" s="26"/>
      <x:c r="Q21" s="13"/>
      <x:c r="R21" s="13"/>
      <x:c r="S21" s="13"/>
      <x:c r="T21" s="13"/>
    </x:row>
    <x:row r="22">
      <x:c r="A22" s="13" t="str">
        <x:v>Allan</x:v>
      </x:c>
      <x:c r="B22" s="13" t="n">
        <x:v>2026</x:v>
      </x:c>
      <x:c r="C22" s="13" t="str">
        <x:v>T1</x:v>
      </x:c>
      <x:c r="D22" s="24" t="n">
        <x:v>46112</x:v>
      </x:c>
      <x:c r="E22" s="13" t="str">
        <x:v>Ponta-direita</x:v>
      </x:c>
      <x:c r="F22" s="13" t="str">
        <x:v>SE Palmeiras</x:v>
      </x:c>
      <x:c r="G22" s="16"/>
      <x:c r="H22" s="16"/>
      <x:c r="I22" s="16"/>
      <x:c r="J22" s="16"/>
      <x:c r="K22" s="16" t="str">
        <x:f>IF(COUNT(G22,I22)=0,"",AVERAGE(G22,I22))</x:f>
      </x:c>
      <x:c r="L22" s="16" t="str">
        <x:f>IF(COUNT(H22,J22)=0,"",AVERAGE(H22,J22))</x:f>
      </x:c>
      <x:c r="M22" s="16" t="str">
        <x:f>IF(OR(K22="",L22=""),"",L22-K22)</x:f>
      </x:c>
      <x:c r="N22" s="16" t="str">
        <x:f>IF(AND(A22=A21,ISNUMBER(K22),ISNUMBER(K21)),K22-K21,"")</x:f>
      </x:c>
      <x:c r="O22" s="13" t="str">
        <x:v>Sem informação</x:v>
      </x:c>
      <x:c r="P22" s="26"/>
      <x:c r="Q22" s="13"/>
      <x:c r="R22" s="13"/>
      <x:c r="S22" s="13"/>
      <x:c r="T22" s="13"/>
    </x:row>
    <x:row r="23">
      <x:c r="A23" s="13" t="str">
        <x:v>Allan</x:v>
      </x:c>
      <x:c r="B23" s="13" t="n">
        <x:v>2026</x:v>
      </x:c>
      <x:c r="C23" s="13" t="str">
        <x:v>T2</x:v>
      </x:c>
      <x:c r="D23" s="24" t="n">
        <x:v>46203</x:v>
      </x:c>
      <x:c r="E23" s="13" t="str">
        <x:v>Ponta-direita</x:v>
      </x:c>
      <x:c r="F23" s="13" t="str">
        <x:v>SE Palmeiras</x:v>
      </x:c>
      <x:c r="G23" s="16"/>
      <x:c r="H23" s="16"/>
      <x:c r="I23" s="16"/>
      <x:c r="J23" s="16"/>
      <x:c r="K23" s="16" t="str">
        <x:f>IF(COUNT(G23,I23)=0,"",AVERAGE(G23,I23))</x:f>
      </x:c>
      <x:c r="L23" s="16" t="str">
        <x:f>IF(COUNT(H23,J23)=0,"",AVERAGE(H23,J23))</x:f>
      </x:c>
      <x:c r="M23" s="16" t="str">
        <x:f>IF(OR(K23="",L23=""),"",L23-K23)</x:f>
      </x:c>
      <x:c r="N23" s="16" t="str">
        <x:f>IF(AND(A23=A22,ISNUMBER(K23),ISNUMBER(K22)),K23-K22,"")</x:f>
      </x:c>
      <x:c r="O23" s="13" t="str">
        <x:v>Sem informação</x:v>
      </x:c>
      <x:c r="P23" s="26"/>
      <x:c r="Q23" s="13"/>
      <x:c r="R23" s="13"/>
      <x:c r="S23" s="13"/>
      <x:c r="T23" s="13"/>
    </x:row>
    <x:row r="24">
      <x:c r="A24" s="13" t="str">
        <x:v>Allan</x:v>
      </x:c>
      <x:c r="B24" s="13" t="n">
        <x:v>2026</x:v>
      </x:c>
      <x:c r="C24" s="13" t="str">
        <x:v>T3</x:v>
      </x:c>
      <x:c r="D24" s="24" t="n">
        <x:v>46295</x:v>
      </x:c>
      <x:c r="E24" s="13" t="str">
        <x:v>Ponta-direita</x:v>
      </x:c>
      <x:c r="F24" s="13" t="str">
        <x:v>SE Palmeiras</x:v>
      </x:c>
      <x:c r="G24" s="16"/>
      <x:c r="H24" s="16"/>
      <x:c r="I24" s="16"/>
      <x:c r="J24" s="16"/>
      <x:c r="K24" s="16" t="str">
        <x:f>IF(COUNT(G24,I24)=0,"",AVERAGE(G24,I24))</x:f>
      </x:c>
      <x:c r="L24" s="16" t="str">
        <x:f>IF(COUNT(H24,J24)=0,"",AVERAGE(H24,J24))</x:f>
      </x:c>
      <x:c r="M24" s="16" t="str">
        <x:f>IF(OR(K24="",L24=""),"",L24-K24)</x:f>
      </x:c>
      <x:c r="N24" s="16" t="str">
        <x:f>IF(AND(A24=A23,ISNUMBER(K24),ISNUMBER(K23)),K24-K23,"")</x:f>
      </x:c>
      <x:c r="O24" s="13" t="str">
        <x:v>Sem informação</x:v>
      </x:c>
      <x:c r="P24" s="26"/>
      <x:c r="Q24" s="13"/>
      <x:c r="R24" s="13"/>
      <x:c r="S24" s="13"/>
      <x:c r="T24" s="13"/>
    </x:row>
    <x:row r="25">
      <x:c r="A25" s="13" t="str">
        <x:v>Allan</x:v>
      </x:c>
      <x:c r="B25" s="13" t="n">
        <x:v>2026</x:v>
      </x:c>
      <x:c r="C25" s="13" t="str">
        <x:v>T4</x:v>
      </x:c>
      <x:c r="D25" s="24" t="n">
        <x:v>46387</x:v>
      </x:c>
      <x:c r="E25" s="13" t="str">
        <x:v>Ponta-direita</x:v>
      </x:c>
      <x:c r="F25" s="13" t="str">
        <x:v>SE Palmeiras</x:v>
      </x:c>
      <x:c r="G25" s="16"/>
      <x:c r="H25" s="16"/>
      <x:c r="I25" s="16"/>
      <x:c r="J25" s="16"/>
      <x:c r="K25" s="16" t="str">
        <x:f>IF(COUNT(G25,I25)=0,"",AVERAGE(G25,I25))</x:f>
      </x:c>
      <x:c r="L25" s="16" t="str">
        <x:f>IF(COUNT(H25,J25)=0,"",AVERAGE(H25,J25))</x:f>
      </x:c>
      <x:c r="M25" s="16" t="str">
        <x:f>IF(OR(K25="",L25=""),"",L25-K25)</x:f>
      </x:c>
      <x:c r="N25" s="16" t="str">
        <x:f>IF(AND(A25=A24,ISNUMBER(K25),ISNUMBER(K24)),K25-K24,"")</x:f>
      </x:c>
      <x:c r="O25" s="13" t="str">
        <x:v>Sem informação</x:v>
      </x:c>
      <x:c r="P25" s="26"/>
      <x:c r="Q25" s="13"/>
      <x:c r="R25" s="13"/>
      <x:c r="S25" s="13"/>
      <x:c r="T25" s="13"/>
    </x:row>
    <x:row r="26">
      <x:c r="A26" s="13" t="str">
        <x:v>Allan</x:v>
      </x:c>
      <x:c r="B26" s="13" t="n">
        <x:v>2027</x:v>
      </x:c>
      <x:c r="C26" s="13" t="str">
        <x:v>T1</x:v>
      </x:c>
      <x:c r="D26" s="24" t="n">
        <x:v>46477</x:v>
      </x:c>
      <x:c r="E26" s="13" t="str">
        <x:v>Ponta-direita</x:v>
      </x:c>
      <x:c r="F26" s="13" t="str">
        <x:v>SE Palmeiras</x:v>
      </x:c>
      <x:c r="G26" s="16"/>
      <x:c r="H26" s="16"/>
      <x:c r="I26" s="16"/>
      <x:c r="J26" s="16"/>
      <x:c r="K26" s="16" t="str">
        <x:f>IF(COUNT(G26,I26)=0,"",AVERAGE(G26,I26))</x:f>
      </x:c>
      <x:c r="L26" s="16" t="str">
        <x:f>IF(COUNT(H26,J26)=0,"",AVERAGE(H26,J26))</x:f>
      </x:c>
      <x:c r="M26" s="16" t="str">
        <x:f>IF(OR(K26="",L26=""),"",L26-K26)</x:f>
      </x:c>
      <x:c r="N26" s="16" t="str">
        <x:f>IF(AND(A26=A25,ISNUMBER(K26),ISNUMBER(K25)),K26-K25,"")</x:f>
      </x:c>
      <x:c r="O26" s="13" t="str">
        <x:v>Sem informação</x:v>
      </x:c>
      <x:c r="P26" s="26"/>
      <x:c r="Q26" s="13"/>
      <x:c r="R26" s="13"/>
      <x:c r="S26" s="13"/>
      <x:c r="T26" s="13"/>
    </x:row>
    <x:row r="27">
      <x:c r="A27" s="13" t="str">
        <x:v>Allan</x:v>
      </x:c>
      <x:c r="B27" s="13" t="n">
        <x:v>2027</x:v>
      </x:c>
      <x:c r="C27" s="13" t="str">
        <x:v>T2</x:v>
      </x:c>
      <x:c r="D27" s="24" t="n">
        <x:v>46568</x:v>
      </x:c>
      <x:c r="E27" s="13" t="str">
        <x:v>Ponta-direita</x:v>
      </x:c>
      <x:c r="F27" s="13" t="str">
        <x:v>SE Palmeiras</x:v>
      </x:c>
      <x:c r="G27" s="16"/>
      <x:c r="H27" s="16"/>
      <x:c r="I27" s="16"/>
      <x:c r="J27" s="16"/>
      <x:c r="K27" s="16" t="str">
        <x:f>IF(COUNT(G27,I27)=0,"",AVERAGE(G27,I27))</x:f>
      </x:c>
      <x:c r="L27" s="16" t="str">
        <x:f>IF(COUNT(H27,J27)=0,"",AVERAGE(H27,J27))</x:f>
      </x:c>
      <x:c r="M27" s="16" t="str">
        <x:f>IF(OR(K27="",L27=""),"",L27-K27)</x:f>
      </x:c>
      <x:c r="N27" s="16" t="str">
        <x:f>IF(AND(A27=A26,ISNUMBER(K27),ISNUMBER(K26)),K27-K26,"")</x:f>
      </x:c>
      <x:c r="O27" s="13" t="str">
        <x:v>Sem informação</x:v>
      </x:c>
      <x:c r="P27" s="26"/>
      <x:c r="Q27" s="13"/>
      <x:c r="R27" s="13"/>
      <x:c r="S27" s="13"/>
      <x:c r="T27" s="13"/>
    </x:row>
    <x:row r="28">
      <x:c r="A28" s="13" t="str">
        <x:v>Allan</x:v>
      </x:c>
      <x:c r="B28" s="13" t="n">
        <x:v>2027</x:v>
      </x:c>
      <x:c r="C28" s="13" t="str">
        <x:v>T3</x:v>
      </x:c>
      <x:c r="D28" s="24" t="n">
        <x:v>46660</x:v>
      </x:c>
      <x:c r="E28" s="13" t="str">
        <x:v>Ponta-direita</x:v>
      </x:c>
      <x:c r="F28" s="13" t="str">
        <x:v>SE Palmeiras</x:v>
      </x:c>
      <x:c r="G28" s="16"/>
      <x:c r="H28" s="16"/>
      <x:c r="I28" s="16"/>
      <x:c r="J28" s="16"/>
      <x:c r="K28" s="16" t="str">
        <x:f>IF(COUNT(G28,I28)=0,"",AVERAGE(G28,I28))</x:f>
      </x:c>
      <x:c r="L28" s="16" t="str">
        <x:f>IF(COUNT(H28,J28)=0,"",AVERAGE(H28,J28))</x:f>
      </x:c>
      <x:c r="M28" s="16" t="str">
        <x:f>IF(OR(K28="",L28=""),"",L28-K28)</x:f>
      </x:c>
      <x:c r="N28" s="16" t="str">
        <x:f>IF(AND(A28=A27,ISNUMBER(K28),ISNUMBER(K27)),K28-K27,"")</x:f>
      </x:c>
      <x:c r="O28" s="13" t="str">
        <x:v>Sem informação</x:v>
      </x:c>
      <x:c r="P28" s="26"/>
      <x:c r="Q28" s="13"/>
      <x:c r="R28" s="13"/>
      <x:c r="S28" s="13"/>
      <x:c r="T28" s="13"/>
    </x:row>
    <x:row r="29">
      <x:c r="A29" s="13" t="str">
        <x:v>Allan</x:v>
      </x:c>
      <x:c r="B29" s="13" t="n">
        <x:v>2027</x:v>
      </x:c>
      <x:c r="C29" s="13" t="str">
        <x:v>T4</x:v>
      </x:c>
      <x:c r="D29" s="24" t="n">
        <x:v>46752</x:v>
      </x:c>
      <x:c r="E29" s="13" t="str">
        <x:v>Ponta-direita</x:v>
      </x:c>
      <x:c r="F29" s="13" t="str">
        <x:v>SE Palmeiras</x:v>
      </x:c>
      <x:c r="G29" s="16"/>
      <x:c r="H29" s="16"/>
      <x:c r="I29" s="16"/>
      <x:c r="J29" s="16"/>
      <x:c r="K29" s="16" t="str">
        <x:f>IF(COUNT(G29,I29)=0,"",AVERAGE(G29,I29))</x:f>
      </x:c>
      <x:c r="L29" s="16" t="str">
        <x:f>IF(COUNT(H29,J29)=0,"",AVERAGE(H29,J29))</x:f>
      </x:c>
      <x:c r="M29" s="16" t="str">
        <x:f>IF(OR(K29="",L29=""),"",L29-K29)</x:f>
      </x:c>
      <x:c r="N29" s="16" t="str">
        <x:f>IF(AND(A29=A28,ISNUMBER(K29),ISNUMBER(K28)),K29-K28,"")</x:f>
      </x:c>
      <x:c r="O29" s="13" t="str">
        <x:v>Sem informação</x:v>
      </x:c>
      <x:c r="P29" s="26"/>
      <x:c r="Q29" s="13"/>
      <x:c r="R29" s="13"/>
      <x:c r="S29" s="13"/>
      <x:c r="T29" s="13"/>
    </x:row>
    <x:row r="30">
      <x:c r="A30" s="13" t="str">
        <x:v>Allan</x:v>
      </x:c>
      <x:c r="B30" s="13" t="n">
        <x:v>2028</x:v>
      </x:c>
      <x:c r="C30" s="13" t="str">
        <x:v>T1</x:v>
      </x:c>
      <x:c r="D30" s="24" t="n">
        <x:v>46843</x:v>
      </x:c>
      <x:c r="E30" s="13" t="str">
        <x:v>Ponta-direita</x:v>
      </x:c>
      <x:c r="F30" s="13" t="str">
        <x:v>SE Palmeiras</x:v>
      </x:c>
      <x:c r="G30" s="16"/>
      <x:c r="H30" s="16"/>
      <x:c r="I30" s="16"/>
      <x:c r="J30" s="16"/>
      <x:c r="K30" s="16" t="str">
        <x:f>IF(COUNT(G30,I30)=0,"",AVERAGE(G30,I30))</x:f>
      </x:c>
      <x:c r="L30" s="16" t="str">
        <x:f>IF(COUNT(H30,J30)=0,"",AVERAGE(H30,J30))</x:f>
      </x:c>
      <x:c r="M30" s="16" t="str">
        <x:f>IF(OR(K30="",L30=""),"",L30-K30)</x:f>
      </x:c>
      <x:c r="N30" s="16" t="str">
        <x:f>IF(AND(A30=A29,ISNUMBER(K30),ISNUMBER(K29)),K30-K29,"")</x:f>
      </x:c>
      <x:c r="O30" s="13" t="str">
        <x:v>Sem informação</x:v>
      </x:c>
      <x:c r="P30" s="26"/>
      <x:c r="Q30" s="13"/>
      <x:c r="R30" s="13"/>
      <x:c r="S30" s="13"/>
      <x:c r="T30" s="13"/>
    </x:row>
    <x:row r="31">
      <x:c r="A31" s="13" t="str">
        <x:v>Allan</x:v>
      </x:c>
      <x:c r="B31" s="13" t="n">
        <x:v>2028</x:v>
      </x:c>
      <x:c r="C31" s="13" t="str">
        <x:v>T2</x:v>
      </x:c>
      <x:c r="D31" s="24" t="n">
        <x:v>46934</x:v>
      </x:c>
      <x:c r="E31" s="13" t="str">
        <x:v>Ponta-direita</x:v>
      </x:c>
      <x:c r="F31" s="13" t="str">
        <x:v>SE Palmeiras</x:v>
      </x:c>
      <x:c r="G31" s="16"/>
      <x:c r="H31" s="16"/>
      <x:c r="I31" s="16"/>
      <x:c r="J31" s="16"/>
      <x:c r="K31" s="16" t="str">
        <x:f>IF(COUNT(G31,I31)=0,"",AVERAGE(G31,I31))</x:f>
      </x:c>
      <x:c r="L31" s="16" t="str">
        <x:f>IF(COUNT(H31,J31)=0,"",AVERAGE(H31,J31))</x:f>
      </x:c>
      <x:c r="M31" s="16" t="str">
        <x:f>IF(OR(K31="",L31=""),"",L31-K31)</x:f>
      </x:c>
      <x:c r="N31" s="16" t="str">
        <x:f>IF(AND(A31=A30,ISNUMBER(K31),ISNUMBER(K30)),K31-K30,"")</x:f>
      </x:c>
      <x:c r="O31" s="13" t="str">
        <x:v>Sem informação</x:v>
      </x:c>
      <x:c r="P31" s="26"/>
      <x:c r="Q31" s="13"/>
      <x:c r="R31" s="13"/>
      <x:c r="S31" s="13"/>
      <x:c r="T31" s="13"/>
    </x:row>
    <x:row r="32">
      <x:c r="A32" s="13" t="str">
        <x:v>Allan</x:v>
      </x:c>
      <x:c r="B32" s="13" t="n">
        <x:v>2028</x:v>
      </x:c>
      <x:c r="C32" s="13" t="str">
        <x:v>T3</x:v>
      </x:c>
      <x:c r="D32" s="24" t="n">
        <x:v>47026</x:v>
      </x:c>
      <x:c r="E32" s="13" t="str">
        <x:v>Ponta-direita</x:v>
      </x:c>
      <x:c r="F32" s="13" t="str">
        <x:v>SE Palmeiras</x:v>
      </x:c>
      <x:c r="G32" s="16"/>
      <x:c r="H32" s="16"/>
      <x:c r="I32" s="16"/>
      <x:c r="J32" s="16"/>
      <x:c r="K32" s="16" t="str">
        <x:f>IF(COUNT(G32,I32)=0,"",AVERAGE(G32,I32))</x:f>
      </x:c>
      <x:c r="L32" s="16" t="str">
        <x:f>IF(COUNT(H32,J32)=0,"",AVERAGE(H32,J32))</x:f>
      </x:c>
      <x:c r="M32" s="16" t="str">
        <x:f>IF(OR(K32="",L32=""),"",L32-K32)</x:f>
      </x:c>
      <x:c r="N32" s="16" t="str">
        <x:f>IF(AND(A32=A31,ISNUMBER(K32),ISNUMBER(K31)),K32-K31,"")</x:f>
      </x:c>
      <x:c r="O32" s="13" t="str">
        <x:v>Sem informação</x:v>
      </x:c>
      <x:c r="P32" s="26"/>
      <x:c r="Q32" s="13"/>
      <x:c r="R32" s="13"/>
      <x:c r="S32" s="13"/>
      <x:c r="T32" s="13"/>
    </x:row>
    <x:row r="33">
      <x:c r="A33" s="13" t="str">
        <x:v>Allan</x:v>
      </x:c>
      <x:c r="B33" s="13" t="n">
        <x:v>2028</x:v>
      </x:c>
      <x:c r="C33" s="13" t="str">
        <x:v>T4</x:v>
      </x:c>
      <x:c r="D33" s="24" t="n">
        <x:v>47118</x:v>
      </x:c>
      <x:c r="E33" s="13" t="str">
        <x:v>Ponta-direita</x:v>
      </x:c>
      <x:c r="F33" s="13" t="str">
        <x:v>SE Palmeiras</x:v>
      </x:c>
      <x:c r="G33" s="16"/>
      <x:c r="H33" s="16"/>
      <x:c r="I33" s="16"/>
      <x:c r="J33" s="16"/>
      <x:c r="K33" s="16" t="str">
        <x:f>IF(COUNT(G33,I33)=0,"",AVERAGE(G33,I33))</x:f>
      </x:c>
      <x:c r="L33" s="16" t="str">
        <x:f>IF(COUNT(H33,J33)=0,"",AVERAGE(H33,J33))</x:f>
      </x:c>
      <x:c r="M33" s="16" t="str">
        <x:f>IF(OR(K33="",L33=""),"",L33-K33)</x:f>
      </x:c>
      <x:c r="N33" s="16" t="str">
        <x:f>IF(AND(A33=A32,ISNUMBER(K33),ISNUMBER(K32)),K33-K32,"")</x:f>
      </x:c>
      <x:c r="O33" s="13" t="str">
        <x:v>Sem informação</x:v>
      </x:c>
      <x:c r="P33" s="26"/>
      <x:c r="Q33" s="13"/>
      <x:c r="R33" s="13"/>
      <x:c r="S33" s="13"/>
      <x:c r="T33" s="13"/>
    </x:row>
    <x:row r="34">
      <x:c r="A34" s="13" t="str">
        <x:v>Allan</x:v>
      </x:c>
      <x:c r="B34" s="13" t="n">
        <x:v>2029</x:v>
      </x:c>
      <x:c r="C34" s="13" t="str">
        <x:v>T1</x:v>
      </x:c>
      <x:c r="D34" s="24" t="n">
        <x:v>47208</x:v>
      </x:c>
      <x:c r="E34" s="13" t="str">
        <x:v>Ponta-direita</x:v>
      </x:c>
      <x:c r="F34" s="13" t="str">
        <x:v>SE Palmeiras</x:v>
      </x:c>
      <x:c r="G34" s="16"/>
      <x:c r="H34" s="16"/>
      <x:c r="I34" s="16"/>
      <x:c r="J34" s="16"/>
      <x:c r="K34" s="16" t="str">
        <x:f>IF(COUNT(G34,I34)=0,"",AVERAGE(G34,I34))</x:f>
      </x:c>
      <x:c r="L34" s="16" t="str">
        <x:f>IF(COUNT(H34,J34)=0,"",AVERAGE(H34,J34))</x:f>
      </x:c>
      <x:c r="M34" s="16" t="str">
        <x:f>IF(OR(K34="",L34=""),"",L34-K34)</x:f>
      </x:c>
      <x:c r="N34" s="16" t="str">
        <x:f>IF(AND(A34=A33,ISNUMBER(K34),ISNUMBER(K33)),K34-K33,"")</x:f>
      </x:c>
      <x:c r="O34" s="13" t="str">
        <x:v>Sem informação</x:v>
      </x:c>
      <x:c r="P34" s="26"/>
      <x:c r="Q34" s="13"/>
      <x:c r="R34" s="13"/>
      <x:c r="S34" s="13"/>
      <x:c r="T34" s="13"/>
    </x:row>
    <x:row r="35">
      <x:c r="A35" s="13" t="str">
        <x:v>Allan</x:v>
      </x:c>
      <x:c r="B35" s="13" t="n">
        <x:v>2029</x:v>
      </x:c>
      <x:c r="C35" s="13" t="str">
        <x:v>T2</x:v>
      </x:c>
      <x:c r="D35" s="24" t="n">
        <x:v>47299</x:v>
      </x:c>
      <x:c r="E35" s="13" t="str">
        <x:v>Ponta-direita</x:v>
      </x:c>
      <x:c r="F35" s="13" t="str">
        <x:v>SE Palmeiras</x:v>
      </x:c>
      <x:c r="G35" s="16"/>
      <x:c r="H35" s="16"/>
      <x:c r="I35" s="16"/>
      <x:c r="J35" s="16"/>
      <x:c r="K35" s="16" t="str">
        <x:f>IF(COUNT(G35,I35)=0,"",AVERAGE(G35,I35))</x:f>
      </x:c>
      <x:c r="L35" s="16" t="str">
        <x:f>IF(COUNT(H35,J35)=0,"",AVERAGE(H35,J35))</x:f>
      </x:c>
      <x:c r="M35" s="16" t="str">
        <x:f>IF(OR(K35="",L35=""),"",L35-K35)</x:f>
      </x:c>
      <x:c r="N35" s="16" t="str">
        <x:f>IF(AND(A35=A34,ISNUMBER(K35),ISNUMBER(K34)),K35-K34,"")</x:f>
      </x:c>
      <x:c r="O35" s="13" t="str">
        <x:v>Sem informação</x:v>
      </x:c>
      <x:c r="P35" s="26"/>
      <x:c r="Q35" s="13"/>
      <x:c r="R35" s="13"/>
      <x:c r="S35" s="13"/>
      <x:c r="T35" s="13"/>
    </x:row>
    <x:row r="36">
      <x:c r="A36" s="13" t="str">
        <x:v>Allan</x:v>
      </x:c>
      <x:c r="B36" s="13" t="n">
        <x:v>2029</x:v>
      </x:c>
      <x:c r="C36" s="13" t="str">
        <x:v>T3</x:v>
      </x:c>
      <x:c r="D36" s="24" t="n">
        <x:v>47391</x:v>
      </x:c>
      <x:c r="E36" s="13" t="str">
        <x:v>Ponta-direita</x:v>
      </x:c>
      <x:c r="F36" s="13" t="str">
        <x:v>SE Palmeiras</x:v>
      </x:c>
      <x:c r="G36" s="16"/>
      <x:c r="H36" s="16"/>
      <x:c r="I36" s="16"/>
      <x:c r="J36" s="16"/>
      <x:c r="K36" s="16" t="str">
        <x:f>IF(COUNT(G36,I36)=0,"",AVERAGE(G36,I36))</x:f>
      </x:c>
      <x:c r="L36" s="16" t="str">
        <x:f>IF(COUNT(H36,J36)=0,"",AVERAGE(H36,J36))</x:f>
      </x:c>
      <x:c r="M36" s="16" t="str">
        <x:f>IF(OR(K36="",L36=""),"",L36-K36)</x:f>
      </x:c>
      <x:c r="N36" s="16" t="str">
        <x:f>IF(AND(A36=A35,ISNUMBER(K36),ISNUMBER(K35)),K36-K35,"")</x:f>
      </x:c>
      <x:c r="O36" s="13" t="str">
        <x:v>Sem informação</x:v>
      </x:c>
      <x:c r="P36" s="26"/>
      <x:c r="Q36" s="13"/>
      <x:c r="R36" s="13"/>
      <x:c r="S36" s="13"/>
      <x:c r="T36" s="13"/>
    </x:row>
    <x:row r="37">
      <x:c r="A37" s="13" t="str">
        <x:v>Allan</x:v>
      </x:c>
      <x:c r="B37" s="13" t="n">
        <x:v>2029</x:v>
      </x:c>
      <x:c r="C37" s="13" t="str">
        <x:v>T4</x:v>
      </x:c>
      <x:c r="D37" s="24" t="n">
        <x:v>47483</x:v>
      </x:c>
      <x:c r="E37" s="13" t="str">
        <x:v>Ponta-direita</x:v>
      </x:c>
      <x:c r="F37" s="13" t="str">
        <x:v>SE Palmeiras</x:v>
      </x:c>
      <x:c r="G37" s="16"/>
      <x:c r="H37" s="16"/>
      <x:c r="I37" s="16"/>
      <x:c r="J37" s="16"/>
      <x:c r="K37" s="16" t="str">
        <x:f>IF(COUNT(G37,I37)=0,"",AVERAGE(G37,I37))</x:f>
      </x:c>
      <x:c r="L37" s="16" t="str">
        <x:f>IF(COUNT(H37,J37)=0,"",AVERAGE(H37,J37))</x:f>
      </x:c>
      <x:c r="M37" s="16" t="str">
        <x:f>IF(OR(K37="",L37=""),"",L37-K37)</x:f>
      </x:c>
      <x:c r="N37" s="16" t="str">
        <x:f>IF(AND(A37=A36,ISNUMBER(K37),ISNUMBER(K36)),K37-K36,"")</x:f>
      </x:c>
      <x:c r="O37" s="13" t="str">
        <x:v>Sem informação</x:v>
      </x:c>
      <x:c r="P37" s="26"/>
      <x:c r="Q37" s="13"/>
      <x:c r="R37" s="13"/>
      <x:c r="S37" s="13"/>
      <x:c r="T37" s="13"/>
    </x:row>
    <x:row r="38">
      <x:c r="A38" s="13" t="str">
        <x:v>Allan</x:v>
      </x:c>
      <x:c r="B38" s="13" t="n">
        <x:v>2030</x:v>
      </x:c>
      <x:c r="C38" s="13" t="str">
        <x:v>T1</x:v>
      </x:c>
      <x:c r="D38" s="24" t="n">
        <x:v>47573</x:v>
      </x:c>
      <x:c r="E38" s="13" t="str">
        <x:v>Ponta-direita</x:v>
      </x:c>
      <x:c r="F38" s="13" t="str">
        <x:v>SE Palmeiras</x:v>
      </x:c>
      <x:c r="G38" s="16"/>
      <x:c r="H38" s="16"/>
      <x:c r="I38" s="16"/>
      <x:c r="J38" s="16"/>
      <x:c r="K38" s="16" t="str">
        <x:f>IF(COUNT(G38,I38)=0,"",AVERAGE(G38,I38))</x:f>
      </x:c>
      <x:c r="L38" s="16" t="str">
        <x:f>IF(COUNT(H38,J38)=0,"",AVERAGE(H38,J38))</x:f>
      </x:c>
      <x:c r="M38" s="16" t="str">
        <x:f>IF(OR(K38="",L38=""),"",L38-K38)</x:f>
      </x:c>
      <x:c r="N38" s="16" t="str">
        <x:f>IF(AND(A38=A37,ISNUMBER(K38),ISNUMBER(K37)),K38-K37,"")</x:f>
      </x:c>
      <x:c r="O38" s="13" t="str">
        <x:v>Sem informação</x:v>
      </x:c>
      <x:c r="P38" s="26"/>
      <x:c r="Q38" s="13"/>
      <x:c r="R38" s="13"/>
      <x:c r="S38" s="13"/>
      <x:c r="T38" s="13"/>
    </x:row>
    <x:row r="39">
      <x:c r="A39" s="13" t="str">
        <x:v>Allan</x:v>
      </x:c>
      <x:c r="B39" s="13" t="n">
        <x:v>2030</x:v>
      </x:c>
      <x:c r="C39" s="13" t="str">
        <x:v>T2</x:v>
      </x:c>
      <x:c r="D39" s="24" t="n">
        <x:v>47664</x:v>
      </x:c>
      <x:c r="E39" s="13" t="str">
        <x:v>Ponta-direita</x:v>
      </x:c>
      <x:c r="F39" s="13" t="str">
        <x:v>SE Palmeiras</x:v>
      </x:c>
      <x:c r="G39" s="16"/>
      <x:c r="H39" s="16"/>
      <x:c r="I39" s="16"/>
      <x:c r="J39" s="16"/>
      <x:c r="K39" s="16" t="str">
        <x:f>IF(COUNT(G39,I39)=0,"",AVERAGE(G39,I39))</x:f>
      </x:c>
      <x:c r="L39" s="16" t="str">
        <x:f>IF(COUNT(H39,J39)=0,"",AVERAGE(H39,J39))</x:f>
      </x:c>
      <x:c r="M39" s="16" t="str">
        <x:f>IF(OR(K39="",L39=""),"",L39-K39)</x:f>
      </x:c>
      <x:c r="N39" s="16" t="str">
        <x:f>IF(AND(A39=A38,ISNUMBER(K39),ISNUMBER(K38)),K39-K38,"")</x:f>
      </x:c>
      <x:c r="O39" s="13" t="str">
        <x:v>Sem informação</x:v>
      </x:c>
      <x:c r="P39" s="26"/>
      <x:c r="Q39" s="13"/>
      <x:c r="R39" s="13"/>
      <x:c r="S39" s="13"/>
      <x:c r="T39" s="13"/>
    </x:row>
    <x:row r="40">
      <x:c r="A40" s="13" t="str">
        <x:v>Allan</x:v>
      </x:c>
      <x:c r="B40" s="13" t="n">
        <x:v>2030</x:v>
      </x:c>
      <x:c r="C40" s="13" t="str">
        <x:v>T3</x:v>
      </x:c>
      <x:c r="D40" s="24" t="n">
        <x:v>47756</x:v>
      </x:c>
      <x:c r="E40" s="13" t="str">
        <x:v>Ponta-direita</x:v>
      </x:c>
      <x:c r="F40" s="13" t="str">
        <x:v>SE Palmeiras</x:v>
      </x:c>
      <x:c r="G40" s="16"/>
      <x:c r="H40" s="16"/>
      <x:c r="I40" s="16"/>
      <x:c r="J40" s="16"/>
      <x:c r="K40" s="16" t="str">
        <x:f>IF(COUNT(G40,I40)=0,"",AVERAGE(G40,I40))</x:f>
      </x:c>
      <x:c r="L40" s="16" t="str">
        <x:f>IF(COUNT(H40,J40)=0,"",AVERAGE(H40,J40))</x:f>
      </x:c>
      <x:c r="M40" s="16" t="str">
        <x:f>IF(OR(K40="",L40=""),"",L40-K40)</x:f>
      </x:c>
      <x:c r="N40" s="16" t="str">
        <x:f>IF(AND(A40=A39,ISNUMBER(K40),ISNUMBER(K39)),K40-K39,"")</x:f>
      </x:c>
      <x:c r="O40" s="13" t="str">
        <x:v>Sem informação</x:v>
      </x:c>
      <x:c r="P40" s="26"/>
      <x:c r="Q40" s="13"/>
      <x:c r="R40" s="13"/>
      <x:c r="S40" s="13"/>
      <x:c r="T40" s="13"/>
    </x:row>
    <x:row r="41">
      <x:c r="A41" s="13" t="str">
        <x:v>Allan</x:v>
      </x:c>
      <x:c r="B41" s="13" t="n">
        <x:v>2030</x:v>
      </x:c>
      <x:c r="C41" s="13" t="str">
        <x:v>T4</x:v>
      </x:c>
      <x:c r="D41" s="24" t="n">
        <x:v>47848</x:v>
      </x:c>
      <x:c r="E41" s="13" t="str">
        <x:v>Ponta-direita</x:v>
      </x:c>
      <x:c r="F41" s="13" t="str">
        <x:v>SE Palmeiras</x:v>
      </x:c>
      <x:c r="G41" s="16"/>
      <x:c r="H41" s="16"/>
      <x:c r="I41" s="16"/>
      <x:c r="J41" s="16"/>
      <x:c r="K41" s="16" t="str">
        <x:f>IF(COUNT(G41,I41)=0,"",AVERAGE(G41,I41))</x:f>
      </x:c>
      <x:c r="L41" s="16" t="str">
        <x:f>IF(COUNT(H41,J41)=0,"",AVERAGE(H41,J41))</x:f>
      </x:c>
      <x:c r="M41" s="16" t="str">
        <x:f>IF(OR(K41="",L41=""),"",L41-K41)</x:f>
      </x:c>
      <x:c r="N41" s="16" t="str">
        <x:f>IF(AND(A41=A40,ISNUMBER(K41),ISNUMBER(K40)),K41-K40,"")</x:f>
      </x:c>
      <x:c r="O41" s="13" t="str">
        <x:v>Sem informação</x:v>
      </x:c>
      <x:c r="P41" s="26"/>
      <x:c r="Q41" s="13"/>
      <x:c r="R41" s="13"/>
      <x:c r="S41" s="13"/>
      <x:c r="T41" s="13"/>
    </x:row>
    <x:row r="42">
      <x:c r="A42" s="13" t="str">
        <x:v>Andrey Santos</x:v>
      </x:c>
      <x:c r="B42" s="13" t="n">
        <x:v>2026</x:v>
      </x:c>
      <x:c r="C42" s="13" t="str">
        <x:v>T1</x:v>
      </x:c>
      <x:c r="D42" s="24" t="n">
        <x:v>46112</x:v>
      </x:c>
      <x:c r="E42" s="13" t="str">
        <x:v>Volante</x:v>
      </x:c>
      <x:c r="F42" s="13" t="str">
        <x:v>Manchester United FC</x:v>
      </x:c>
      <x:c r="G42" s="16"/>
      <x:c r="H42" s="16"/>
      <x:c r="I42" s="16"/>
      <x:c r="J42" s="16"/>
      <x:c r="K42" s="16" t="str">
        <x:f>IF(COUNT(G42,I42)=0,"",AVERAGE(G42,I42))</x:f>
      </x:c>
      <x:c r="L42" s="16" t="str">
        <x:f>IF(COUNT(H42,J42)=0,"",AVERAGE(H42,J42))</x:f>
      </x:c>
      <x:c r="M42" s="16" t="str">
        <x:f>IF(OR(K42="",L42=""),"",L42-K42)</x:f>
      </x:c>
      <x:c r="N42" s="16" t="str">
        <x:f>IF(AND(A42=A41,ISNUMBER(K42),ISNUMBER(K41)),K42-K41,"")</x:f>
      </x:c>
      <x:c r="O42" s="13" t="str">
        <x:v>Sem informação</x:v>
      </x:c>
      <x:c r="P42" s="26"/>
      <x:c r="Q42" s="13"/>
      <x:c r="R42" s="13"/>
      <x:c r="S42" s="13"/>
      <x:c r="T42" s="13"/>
    </x:row>
    <x:row r="43">
      <x:c r="A43" s="13" t="str">
        <x:v>Andrey Santos</x:v>
      </x:c>
      <x:c r="B43" s="13" t="n">
        <x:v>2026</x:v>
      </x:c>
      <x:c r="C43" s="13" t="str">
        <x:v>T2</x:v>
      </x:c>
      <x:c r="D43" s="24" t="n">
        <x:v>46203</x:v>
      </x:c>
      <x:c r="E43" s="13" t="str">
        <x:v>Volante</x:v>
      </x:c>
      <x:c r="F43" s="13" t="str">
        <x:v>Manchester United FC</x:v>
      </x:c>
      <x:c r="G43" s="16"/>
      <x:c r="H43" s="16"/>
      <x:c r="I43" s="16"/>
      <x:c r="J43" s="16"/>
      <x:c r="K43" s="16" t="str">
        <x:f>IF(COUNT(G43,I43)=0,"",AVERAGE(G43,I43))</x:f>
      </x:c>
      <x:c r="L43" s="16" t="str">
        <x:f>IF(COUNT(H43,J43)=0,"",AVERAGE(H43,J43))</x:f>
      </x:c>
      <x:c r="M43" s="16" t="str">
        <x:f>IF(OR(K43="",L43=""),"",L43-K43)</x:f>
      </x:c>
      <x:c r="N43" s="16" t="str">
        <x:f>IF(AND(A43=A42,ISNUMBER(K43),ISNUMBER(K42)),K43-K42,"")</x:f>
      </x:c>
      <x:c r="O43" s="13" t="str">
        <x:v>Sem informação</x:v>
      </x:c>
      <x:c r="P43" s="26"/>
      <x:c r="Q43" s="13"/>
      <x:c r="R43" s="13"/>
      <x:c r="S43" s="13"/>
      <x:c r="T43" s="13"/>
    </x:row>
    <x:row r="44">
      <x:c r="A44" s="13" t="str">
        <x:v>Andrey Santos</x:v>
      </x:c>
      <x:c r="B44" s="13" t="n">
        <x:v>2026</x:v>
      </x:c>
      <x:c r="C44" s="13" t="str">
        <x:v>T3</x:v>
      </x:c>
      <x:c r="D44" s="24" t="n">
        <x:v>46295</x:v>
      </x:c>
      <x:c r="E44" s="13" t="str">
        <x:v>Volante</x:v>
      </x:c>
      <x:c r="F44" s="13" t="str">
        <x:v>Manchester United FC</x:v>
      </x:c>
      <x:c r="G44" s="16"/>
      <x:c r="H44" s="16"/>
      <x:c r="I44" s="16"/>
      <x:c r="J44" s="16"/>
      <x:c r="K44" s="16" t="str">
        <x:f>IF(COUNT(G44,I44)=0,"",AVERAGE(G44,I44))</x:f>
      </x:c>
      <x:c r="L44" s="16" t="str">
        <x:f>IF(COUNT(H44,J44)=0,"",AVERAGE(H44,J44))</x:f>
      </x:c>
      <x:c r="M44" s="16" t="str">
        <x:f>IF(OR(K44="",L44=""),"",L44-K44)</x:f>
      </x:c>
      <x:c r="N44" s="16" t="str">
        <x:f>IF(AND(A44=A43,ISNUMBER(K44),ISNUMBER(K43)),K44-K43,"")</x:f>
      </x:c>
      <x:c r="O44" s="13" t="str">
        <x:v>Sem informação</x:v>
      </x:c>
      <x:c r="P44" s="26"/>
      <x:c r="Q44" s="13"/>
      <x:c r="R44" s="13"/>
      <x:c r="S44" s="13"/>
      <x:c r="T44" s="13"/>
    </x:row>
    <x:row r="45">
      <x:c r="A45" s="13" t="str">
        <x:v>Andrey Santos</x:v>
      </x:c>
      <x:c r="B45" s="13" t="n">
        <x:v>2026</x:v>
      </x:c>
      <x:c r="C45" s="13" t="str">
        <x:v>T4</x:v>
      </x:c>
      <x:c r="D45" s="24" t="n">
        <x:v>46387</x:v>
      </x:c>
      <x:c r="E45" s="13" t="str">
        <x:v>Volante</x:v>
      </x:c>
      <x:c r="F45" s="13" t="str">
        <x:v>Manchester United FC</x:v>
      </x:c>
      <x:c r="G45" s="16"/>
      <x:c r="H45" s="16"/>
      <x:c r="I45" s="16"/>
      <x:c r="J45" s="16"/>
      <x:c r="K45" s="16" t="str">
        <x:f>IF(COUNT(G45,I45)=0,"",AVERAGE(G45,I45))</x:f>
      </x:c>
      <x:c r="L45" s="16" t="str">
        <x:f>IF(COUNT(H45,J45)=0,"",AVERAGE(H45,J45))</x:f>
      </x:c>
      <x:c r="M45" s="16" t="str">
        <x:f>IF(OR(K45="",L45=""),"",L45-K45)</x:f>
      </x:c>
      <x:c r="N45" s="16" t="str">
        <x:f>IF(AND(A45=A44,ISNUMBER(K45),ISNUMBER(K44)),K45-K44,"")</x:f>
      </x:c>
      <x:c r="O45" s="13" t="str">
        <x:v>Sem informação</x:v>
      </x:c>
      <x:c r="P45" s="26"/>
      <x:c r="Q45" s="13"/>
      <x:c r="R45" s="13"/>
      <x:c r="S45" s="13"/>
      <x:c r="T45" s="13"/>
    </x:row>
    <x:row r="46">
      <x:c r="A46" s="13" t="str">
        <x:v>Andrey Santos</x:v>
      </x:c>
      <x:c r="B46" s="13" t="n">
        <x:v>2027</x:v>
      </x:c>
      <x:c r="C46" s="13" t="str">
        <x:v>T1</x:v>
      </x:c>
      <x:c r="D46" s="24" t="n">
        <x:v>46477</x:v>
      </x:c>
      <x:c r="E46" s="13" t="str">
        <x:v>Volante</x:v>
      </x:c>
      <x:c r="F46" s="13" t="str">
        <x:v>Manchester United FC</x:v>
      </x:c>
      <x:c r="G46" s="16"/>
      <x:c r="H46" s="16"/>
      <x:c r="I46" s="16"/>
      <x:c r="J46" s="16"/>
      <x:c r="K46" s="16" t="str">
        <x:f>IF(COUNT(G46,I46)=0,"",AVERAGE(G46,I46))</x:f>
      </x:c>
      <x:c r="L46" s="16" t="str">
        <x:f>IF(COUNT(H46,J46)=0,"",AVERAGE(H46,J46))</x:f>
      </x:c>
      <x:c r="M46" s="16" t="str">
        <x:f>IF(OR(K46="",L46=""),"",L46-K46)</x:f>
      </x:c>
      <x:c r="N46" s="16" t="str">
        <x:f>IF(AND(A46=A45,ISNUMBER(K46),ISNUMBER(K45)),K46-K45,"")</x:f>
      </x:c>
      <x:c r="O46" s="13" t="str">
        <x:v>Sem informação</x:v>
      </x:c>
      <x:c r="P46" s="26"/>
      <x:c r="Q46" s="13"/>
      <x:c r="R46" s="13"/>
      <x:c r="S46" s="13"/>
      <x:c r="T46" s="13"/>
    </x:row>
    <x:row r="47">
      <x:c r="A47" s="13" t="str">
        <x:v>Andrey Santos</x:v>
      </x:c>
      <x:c r="B47" s="13" t="n">
        <x:v>2027</x:v>
      </x:c>
      <x:c r="C47" s="13" t="str">
        <x:v>T2</x:v>
      </x:c>
      <x:c r="D47" s="24" t="n">
        <x:v>46568</x:v>
      </x:c>
      <x:c r="E47" s="13" t="str">
        <x:v>Volante</x:v>
      </x:c>
      <x:c r="F47" s="13" t="str">
        <x:v>Manchester United FC</x:v>
      </x:c>
      <x:c r="G47" s="16"/>
      <x:c r="H47" s="16"/>
      <x:c r="I47" s="16"/>
      <x:c r="J47" s="16"/>
      <x:c r="K47" s="16" t="str">
        <x:f>IF(COUNT(G47,I47)=0,"",AVERAGE(G47,I47))</x:f>
      </x:c>
      <x:c r="L47" s="16" t="str">
        <x:f>IF(COUNT(H47,J47)=0,"",AVERAGE(H47,J47))</x:f>
      </x:c>
      <x:c r="M47" s="16" t="str">
        <x:f>IF(OR(K47="",L47=""),"",L47-K47)</x:f>
      </x:c>
      <x:c r="N47" s="16" t="str">
        <x:f>IF(AND(A47=A46,ISNUMBER(K47),ISNUMBER(K46)),K47-K46,"")</x:f>
      </x:c>
      <x:c r="O47" s="13" t="str">
        <x:v>Sem informação</x:v>
      </x:c>
      <x:c r="P47" s="26"/>
      <x:c r="Q47" s="13"/>
      <x:c r="R47" s="13"/>
      <x:c r="S47" s="13"/>
      <x:c r="T47" s="13"/>
    </x:row>
    <x:row r="48">
      <x:c r="A48" s="13" t="str">
        <x:v>Andrey Santos</x:v>
      </x:c>
      <x:c r="B48" s="13" t="n">
        <x:v>2027</x:v>
      </x:c>
      <x:c r="C48" s="13" t="str">
        <x:v>T3</x:v>
      </x:c>
      <x:c r="D48" s="24" t="n">
        <x:v>46660</x:v>
      </x:c>
      <x:c r="E48" s="13" t="str">
        <x:v>Volante</x:v>
      </x:c>
      <x:c r="F48" s="13" t="str">
        <x:v>Manchester United FC</x:v>
      </x:c>
      <x:c r="G48" s="16"/>
      <x:c r="H48" s="16"/>
      <x:c r="I48" s="16"/>
      <x:c r="J48" s="16"/>
      <x:c r="K48" s="16" t="str">
        <x:f>IF(COUNT(G48,I48)=0,"",AVERAGE(G48,I48))</x:f>
      </x:c>
      <x:c r="L48" s="16" t="str">
        <x:f>IF(COUNT(H48,J48)=0,"",AVERAGE(H48,J48))</x:f>
      </x:c>
      <x:c r="M48" s="16" t="str">
        <x:f>IF(OR(K48="",L48=""),"",L48-K48)</x:f>
      </x:c>
      <x:c r="N48" s="16" t="str">
        <x:f>IF(AND(A48=A47,ISNUMBER(K48),ISNUMBER(K47)),K48-K47,"")</x:f>
      </x:c>
      <x:c r="O48" s="13" t="str">
        <x:v>Sem informação</x:v>
      </x:c>
      <x:c r="P48" s="26"/>
      <x:c r="Q48" s="13"/>
      <x:c r="R48" s="13"/>
      <x:c r="S48" s="13"/>
      <x:c r="T48" s="13"/>
    </x:row>
    <x:row r="49">
      <x:c r="A49" s="13" t="str">
        <x:v>Andrey Santos</x:v>
      </x:c>
      <x:c r="B49" s="13" t="n">
        <x:v>2027</x:v>
      </x:c>
      <x:c r="C49" s="13" t="str">
        <x:v>T4</x:v>
      </x:c>
      <x:c r="D49" s="24" t="n">
        <x:v>46752</x:v>
      </x:c>
      <x:c r="E49" s="13" t="str">
        <x:v>Volante</x:v>
      </x:c>
      <x:c r="F49" s="13" t="str">
        <x:v>Manchester United FC</x:v>
      </x:c>
      <x:c r="G49" s="16"/>
      <x:c r="H49" s="16"/>
      <x:c r="I49" s="16"/>
      <x:c r="J49" s="16"/>
      <x:c r="K49" s="16" t="str">
        <x:f>IF(COUNT(G49,I49)=0,"",AVERAGE(G49,I49))</x:f>
      </x:c>
      <x:c r="L49" s="16" t="str">
        <x:f>IF(COUNT(H49,J49)=0,"",AVERAGE(H49,J49))</x:f>
      </x:c>
      <x:c r="M49" s="16" t="str">
        <x:f>IF(OR(K49="",L49=""),"",L49-K49)</x:f>
      </x:c>
      <x:c r="N49" s="16" t="str">
        <x:f>IF(AND(A49=A48,ISNUMBER(K49),ISNUMBER(K48)),K49-K48,"")</x:f>
      </x:c>
      <x:c r="O49" s="13" t="str">
        <x:v>Sem informação</x:v>
      </x:c>
      <x:c r="P49" s="26"/>
      <x:c r="Q49" s="13"/>
      <x:c r="R49" s="13"/>
      <x:c r="S49" s="13"/>
      <x:c r="T49" s="13"/>
    </x:row>
    <x:row r="50">
      <x:c r="A50" s="13" t="str">
        <x:v>Andrey Santos</x:v>
      </x:c>
      <x:c r="B50" s="13" t="n">
        <x:v>2028</x:v>
      </x:c>
      <x:c r="C50" s="13" t="str">
        <x:v>T1</x:v>
      </x:c>
      <x:c r="D50" s="24" t="n">
        <x:v>46843</x:v>
      </x:c>
      <x:c r="E50" s="13" t="str">
        <x:v>Volante</x:v>
      </x:c>
      <x:c r="F50" s="13" t="str">
        <x:v>Manchester United FC</x:v>
      </x:c>
      <x:c r="G50" s="16"/>
      <x:c r="H50" s="16"/>
      <x:c r="I50" s="16"/>
      <x:c r="J50" s="16"/>
      <x:c r="K50" s="16" t="str">
        <x:f>IF(COUNT(G50,I50)=0,"",AVERAGE(G50,I50))</x:f>
      </x:c>
      <x:c r="L50" s="16" t="str">
        <x:f>IF(COUNT(H50,J50)=0,"",AVERAGE(H50,J50))</x:f>
      </x:c>
      <x:c r="M50" s="16" t="str">
        <x:f>IF(OR(K50="",L50=""),"",L50-K50)</x:f>
      </x:c>
      <x:c r="N50" s="16" t="str">
        <x:f>IF(AND(A50=A49,ISNUMBER(K50),ISNUMBER(K49)),K50-K49,"")</x:f>
      </x:c>
      <x:c r="O50" s="13" t="str">
        <x:v>Sem informação</x:v>
      </x:c>
      <x:c r="P50" s="26"/>
      <x:c r="Q50" s="13"/>
      <x:c r="R50" s="13"/>
      <x:c r="S50" s="13"/>
      <x:c r="T50" s="13"/>
    </x:row>
    <x:row r="51">
      <x:c r="A51" s="13" t="str">
        <x:v>Andrey Santos</x:v>
      </x:c>
      <x:c r="B51" s="13" t="n">
        <x:v>2028</x:v>
      </x:c>
      <x:c r="C51" s="13" t="str">
        <x:v>T2</x:v>
      </x:c>
      <x:c r="D51" s="24" t="n">
        <x:v>46934</x:v>
      </x:c>
      <x:c r="E51" s="13" t="str">
        <x:v>Volante</x:v>
      </x:c>
      <x:c r="F51" s="13" t="str">
        <x:v>Manchester United FC</x:v>
      </x:c>
      <x:c r="G51" s="16"/>
      <x:c r="H51" s="16"/>
      <x:c r="I51" s="16"/>
      <x:c r="J51" s="16"/>
      <x:c r="K51" s="16" t="str">
        <x:f>IF(COUNT(G51,I51)=0,"",AVERAGE(G51,I51))</x:f>
      </x:c>
      <x:c r="L51" s="16" t="str">
        <x:f>IF(COUNT(H51,J51)=0,"",AVERAGE(H51,J51))</x:f>
      </x:c>
      <x:c r="M51" s="16" t="str">
        <x:f>IF(OR(K51="",L51=""),"",L51-K51)</x:f>
      </x:c>
      <x:c r="N51" s="16" t="str">
        <x:f>IF(AND(A51=A50,ISNUMBER(K51),ISNUMBER(K50)),K51-K50,"")</x:f>
      </x:c>
      <x:c r="O51" s="13" t="str">
        <x:v>Sem informação</x:v>
      </x:c>
      <x:c r="P51" s="26"/>
      <x:c r="Q51" s="13"/>
      <x:c r="R51" s="13"/>
      <x:c r="S51" s="13"/>
      <x:c r="T51" s="13"/>
    </x:row>
    <x:row r="52">
      <x:c r="A52" s="13" t="str">
        <x:v>Andrey Santos</x:v>
      </x:c>
      <x:c r="B52" s="13" t="n">
        <x:v>2028</x:v>
      </x:c>
      <x:c r="C52" s="13" t="str">
        <x:v>T3</x:v>
      </x:c>
      <x:c r="D52" s="24" t="n">
        <x:v>47026</x:v>
      </x:c>
      <x:c r="E52" s="13" t="str">
        <x:v>Volante</x:v>
      </x:c>
      <x:c r="F52" s="13" t="str">
        <x:v>Manchester United FC</x:v>
      </x:c>
      <x:c r="G52" s="16"/>
      <x:c r="H52" s="16"/>
      <x:c r="I52" s="16"/>
      <x:c r="J52" s="16"/>
      <x:c r="K52" s="16" t="str">
        <x:f>IF(COUNT(G52,I52)=0,"",AVERAGE(G52,I52))</x:f>
      </x:c>
      <x:c r="L52" s="16" t="str">
        <x:f>IF(COUNT(H52,J52)=0,"",AVERAGE(H52,J52))</x:f>
      </x:c>
      <x:c r="M52" s="16" t="str">
        <x:f>IF(OR(K52="",L52=""),"",L52-K52)</x:f>
      </x:c>
      <x:c r="N52" s="16" t="str">
        <x:f>IF(AND(A52=A51,ISNUMBER(K52),ISNUMBER(K51)),K52-K51,"")</x:f>
      </x:c>
      <x:c r="O52" s="13" t="str">
        <x:v>Sem informação</x:v>
      </x:c>
      <x:c r="P52" s="26"/>
      <x:c r="Q52" s="13"/>
      <x:c r="R52" s="13"/>
      <x:c r="S52" s="13"/>
      <x:c r="T52" s="13"/>
    </x:row>
    <x:row r="53">
      <x:c r="A53" s="13" t="str">
        <x:v>Andrey Santos</x:v>
      </x:c>
      <x:c r="B53" s="13" t="n">
        <x:v>2028</x:v>
      </x:c>
      <x:c r="C53" s="13" t="str">
        <x:v>T4</x:v>
      </x:c>
      <x:c r="D53" s="24" t="n">
        <x:v>47118</x:v>
      </x:c>
      <x:c r="E53" s="13" t="str">
        <x:v>Volante</x:v>
      </x:c>
      <x:c r="F53" s="13" t="str">
        <x:v>Manchester United FC</x:v>
      </x:c>
      <x:c r="G53" s="16"/>
      <x:c r="H53" s="16"/>
      <x:c r="I53" s="16"/>
      <x:c r="J53" s="16"/>
      <x:c r="K53" s="16" t="str">
        <x:f>IF(COUNT(G53,I53)=0,"",AVERAGE(G53,I53))</x:f>
      </x:c>
      <x:c r="L53" s="16" t="str">
        <x:f>IF(COUNT(H53,J53)=0,"",AVERAGE(H53,J53))</x:f>
      </x:c>
      <x:c r="M53" s="16" t="str">
        <x:f>IF(OR(K53="",L53=""),"",L53-K53)</x:f>
      </x:c>
      <x:c r="N53" s="16" t="str">
        <x:f>IF(AND(A53=A52,ISNUMBER(K53),ISNUMBER(K52)),K53-K52,"")</x:f>
      </x:c>
      <x:c r="O53" s="13" t="str">
        <x:v>Sem informação</x:v>
      </x:c>
      <x:c r="P53" s="26"/>
      <x:c r="Q53" s="13"/>
      <x:c r="R53" s="13"/>
      <x:c r="S53" s="13"/>
      <x:c r="T53" s="13"/>
    </x:row>
    <x:row r="54">
      <x:c r="A54" s="13" t="str">
        <x:v>Andrey Santos</x:v>
      </x:c>
      <x:c r="B54" s="13" t="n">
        <x:v>2029</x:v>
      </x:c>
      <x:c r="C54" s="13" t="str">
        <x:v>T1</x:v>
      </x:c>
      <x:c r="D54" s="24" t="n">
        <x:v>47208</x:v>
      </x:c>
      <x:c r="E54" s="13" t="str">
        <x:v>Volante</x:v>
      </x:c>
      <x:c r="F54" s="13" t="str">
        <x:v>Manchester United FC</x:v>
      </x:c>
      <x:c r="G54" s="16"/>
      <x:c r="H54" s="16"/>
      <x:c r="I54" s="16"/>
      <x:c r="J54" s="16"/>
      <x:c r="K54" s="16" t="str">
        <x:f>IF(COUNT(G54,I54)=0,"",AVERAGE(G54,I54))</x:f>
      </x:c>
      <x:c r="L54" s="16" t="str">
        <x:f>IF(COUNT(H54,J54)=0,"",AVERAGE(H54,J54))</x:f>
      </x:c>
      <x:c r="M54" s="16" t="str">
        <x:f>IF(OR(K54="",L54=""),"",L54-K54)</x:f>
      </x:c>
      <x:c r="N54" s="16" t="str">
        <x:f>IF(AND(A54=A53,ISNUMBER(K54),ISNUMBER(K53)),K54-K53,"")</x:f>
      </x:c>
      <x:c r="O54" s="13" t="str">
        <x:v>Sem informação</x:v>
      </x:c>
      <x:c r="P54" s="26"/>
      <x:c r="Q54" s="13"/>
      <x:c r="R54" s="13"/>
      <x:c r="S54" s="13"/>
      <x:c r="T54" s="13"/>
    </x:row>
    <x:row r="55">
      <x:c r="A55" s="13" t="str">
        <x:v>Andrey Santos</x:v>
      </x:c>
      <x:c r="B55" s="13" t="n">
        <x:v>2029</x:v>
      </x:c>
      <x:c r="C55" s="13" t="str">
        <x:v>T2</x:v>
      </x:c>
      <x:c r="D55" s="24" t="n">
        <x:v>47299</x:v>
      </x:c>
      <x:c r="E55" s="13" t="str">
        <x:v>Volante</x:v>
      </x:c>
      <x:c r="F55" s="13" t="str">
        <x:v>Manchester United FC</x:v>
      </x:c>
      <x:c r="G55" s="16"/>
      <x:c r="H55" s="16"/>
      <x:c r="I55" s="16"/>
      <x:c r="J55" s="16"/>
      <x:c r="K55" s="16" t="str">
        <x:f>IF(COUNT(G55,I55)=0,"",AVERAGE(G55,I55))</x:f>
      </x:c>
      <x:c r="L55" s="16" t="str">
        <x:f>IF(COUNT(H55,J55)=0,"",AVERAGE(H55,J55))</x:f>
      </x:c>
      <x:c r="M55" s="16" t="str">
        <x:f>IF(OR(K55="",L55=""),"",L55-K55)</x:f>
      </x:c>
      <x:c r="N55" s="16" t="str">
        <x:f>IF(AND(A55=A54,ISNUMBER(K55),ISNUMBER(K54)),K55-K54,"")</x:f>
      </x:c>
      <x:c r="O55" s="13" t="str">
        <x:v>Sem informação</x:v>
      </x:c>
      <x:c r="P55" s="26"/>
      <x:c r="Q55" s="13"/>
      <x:c r="R55" s="13"/>
      <x:c r="S55" s="13"/>
      <x:c r="T55" s="13"/>
    </x:row>
    <x:row r="56">
      <x:c r="A56" s="13" t="str">
        <x:v>Andrey Santos</x:v>
      </x:c>
      <x:c r="B56" s="13" t="n">
        <x:v>2029</x:v>
      </x:c>
      <x:c r="C56" s="13" t="str">
        <x:v>T3</x:v>
      </x:c>
      <x:c r="D56" s="24" t="n">
        <x:v>47391</x:v>
      </x:c>
      <x:c r="E56" s="13" t="str">
        <x:v>Volante</x:v>
      </x:c>
      <x:c r="F56" s="13" t="str">
        <x:v>Manchester United FC</x:v>
      </x:c>
      <x:c r="G56" s="16"/>
      <x:c r="H56" s="16"/>
      <x:c r="I56" s="16"/>
      <x:c r="J56" s="16"/>
      <x:c r="K56" s="16" t="str">
        <x:f>IF(COUNT(G56,I56)=0,"",AVERAGE(G56,I56))</x:f>
      </x:c>
      <x:c r="L56" s="16" t="str">
        <x:f>IF(COUNT(H56,J56)=0,"",AVERAGE(H56,J56))</x:f>
      </x:c>
      <x:c r="M56" s="16" t="str">
        <x:f>IF(OR(K56="",L56=""),"",L56-K56)</x:f>
      </x:c>
      <x:c r="N56" s="16" t="str">
        <x:f>IF(AND(A56=A55,ISNUMBER(K56),ISNUMBER(K55)),K56-K55,"")</x:f>
      </x:c>
      <x:c r="O56" s="13" t="str">
        <x:v>Sem informação</x:v>
      </x:c>
      <x:c r="P56" s="26"/>
      <x:c r="Q56" s="13"/>
      <x:c r="R56" s="13"/>
      <x:c r="S56" s="13"/>
      <x:c r="T56" s="13"/>
    </x:row>
    <x:row r="57">
      <x:c r="A57" s="13" t="str">
        <x:v>Andrey Santos</x:v>
      </x:c>
      <x:c r="B57" s="13" t="n">
        <x:v>2029</x:v>
      </x:c>
      <x:c r="C57" s="13" t="str">
        <x:v>T4</x:v>
      </x:c>
      <x:c r="D57" s="24" t="n">
        <x:v>47483</x:v>
      </x:c>
      <x:c r="E57" s="13" t="str">
        <x:v>Volante</x:v>
      </x:c>
      <x:c r="F57" s="13" t="str">
        <x:v>Manchester United FC</x:v>
      </x:c>
      <x:c r="G57" s="16"/>
      <x:c r="H57" s="16"/>
      <x:c r="I57" s="16"/>
      <x:c r="J57" s="16"/>
      <x:c r="K57" s="16" t="str">
        <x:f>IF(COUNT(G57,I57)=0,"",AVERAGE(G57,I57))</x:f>
      </x:c>
      <x:c r="L57" s="16" t="str">
        <x:f>IF(COUNT(H57,J57)=0,"",AVERAGE(H57,J57))</x:f>
      </x:c>
      <x:c r="M57" s="16" t="str">
        <x:f>IF(OR(K57="",L57=""),"",L57-K57)</x:f>
      </x:c>
      <x:c r="N57" s="16" t="str">
        <x:f>IF(AND(A57=A56,ISNUMBER(K57),ISNUMBER(K56)),K57-K56,"")</x:f>
      </x:c>
      <x:c r="O57" s="13" t="str">
        <x:v>Sem informação</x:v>
      </x:c>
      <x:c r="P57" s="26"/>
      <x:c r="Q57" s="13"/>
      <x:c r="R57" s="13"/>
      <x:c r="S57" s="13"/>
      <x:c r="T57" s="13"/>
    </x:row>
    <x:row r="58">
      <x:c r="A58" s="13" t="str">
        <x:v>Andrey Santos</x:v>
      </x:c>
      <x:c r="B58" s="13" t="n">
        <x:v>2030</x:v>
      </x:c>
      <x:c r="C58" s="13" t="str">
        <x:v>T1</x:v>
      </x:c>
      <x:c r="D58" s="24" t="n">
        <x:v>47573</x:v>
      </x:c>
      <x:c r="E58" s="13" t="str">
        <x:v>Volante</x:v>
      </x:c>
      <x:c r="F58" s="13" t="str">
        <x:v>Manchester United FC</x:v>
      </x:c>
      <x:c r="G58" s="16"/>
      <x:c r="H58" s="16"/>
      <x:c r="I58" s="16"/>
      <x:c r="J58" s="16"/>
      <x:c r="K58" s="16" t="str">
        <x:f>IF(COUNT(G58,I58)=0,"",AVERAGE(G58,I58))</x:f>
      </x:c>
      <x:c r="L58" s="16" t="str">
        <x:f>IF(COUNT(H58,J58)=0,"",AVERAGE(H58,J58))</x:f>
      </x:c>
      <x:c r="M58" s="16" t="str">
        <x:f>IF(OR(K58="",L58=""),"",L58-K58)</x:f>
      </x:c>
      <x:c r="N58" s="16" t="str">
        <x:f>IF(AND(A58=A57,ISNUMBER(K58),ISNUMBER(K57)),K58-K57,"")</x:f>
      </x:c>
      <x:c r="O58" s="13" t="str">
        <x:v>Sem informação</x:v>
      </x:c>
      <x:c r="P58" s="26"/>
      <x:c r="Q58" s="13"/>
      <x:c r="R58" s="13"/>
      <x:c r="S58" s="13"/>
      <x:c r="T58" s="13"/>
    </x:row>
    <x:row r="59">
      <x:c r="A59" s="13" t="str">
        <x:v>Andrey Santos</x:v>
      </x:c>
      <x:c r="B59" s="13" t="n">
        <x:v>2030</x:v>
      </x:c>
      <x:c r="C59" s="13" t="str">
        <x:v>T2</x:v>
      </x:c>
      <x:c r="D59" s="24" t="n">
        <x:v>47664</x:v>
      </x:c>
      <x:c r="E59" s="13" t="str">
        <x:v>Volante</x:v>
      </x:c>
      <x:c r="F59" s="13" t="str">
        <x:v>Manchester United FC</x:v>
      </x:c>
      <x:c r="G59" s="16"/>
      <x:c r="H59" s="16"/>
      <x:c r="I59" s="16"/>
      <x:c r="J59" s="16"/>
      <x:c r="K59" s="16" t="str">
        <x:f>IF(COUNT(G59,I59)=0,"",AVERAGE(G59,I59))</x:f>
      </x:c>
      <x:c r="L59" s="16" t="str">
        <x:f>IF(COUNT(H59,J59)=0,"",AVERAGE(H59,J59))</x:f>
      </x:c>
      <x:c r="M59" s="16" t="str">
        <x:f>IF(OR(K59="",L59=""),"",L59-K59)</x:f>
      </x:c>
      <x:c r="N59" s="16" t="str">
        <x:f>IF(AND(A59=A58,ISNUMBER(K59),ISNUMBER(K58)),K59-K58,"")</x:f>
      </x:c>
      <x:c r="O59" s="13" t="str">
        <x:v>Sem informação</x:v>
      </x:c>
      <x:c r="P59" s="26"/>
      <x:c r="Q59" s="13"/>
      <x:c r="R59" s="13"/>
      <x:c r="S59" s="13"/>
      <x:c r="T59" s="13"/>
    </x:row>
    <x:row r="60">
      <x:c r="A60" s="13" t="str">
        <x:v>Andrey Santos</x:v>
      </x:c>
      <x:c r="B60" s="13" t="n">
        <x:v>2030</x:v>
      </x:c>
      <x:c r="C60" s="13" t="str">
        <x:v>T3</x:v>
      </x:c>
      <x:c r="D60" s="24" t="n">
        <x:v>47756</x:v>
      </x:c>
      <x:c r="E60" s="13" t="str">
        <x:v>Volante</x:v>
      </x:c>
      <x:c r="F60" s="13" t="str">
        <x:v>Manchester United FC</x:v>
      </x:c>
      <x:c r="G60" s="16"/>
      <x:c r="H60" s="16"/>
      <x:c r="I60" s="16"/>
      <x:c r="J60" s="16"/>
      <x:c r="K60" s="16" t="str">
        <x:f>IF(COUNT(G60,I60)=0,"",AVERAGE(G60,I60))</x:f>
      </x:c>
      <x:c r="L60" s="16" t="str">
        <x:f>IF(COUNT(H60,J60)=0,"",AVERAGE(H60,J60))</x:f>
      </x:c>
      <x:c r="M60" s="16" t="str">
        <x:f>IF(OR(K60="",L60=""),"",L60-K60)</x:f>
      </x:c>
      <x:c r="N60" s="16" t="str">
        <x:f>IF(AND(A60=A59,ISNUMBER(K60),ISNUMBER(K59)),K60-K59,"")</x:f>
      </x:c>
      <x:c r="O60" s="13" t="str">
        <x:v>Sem informação</x:v>
      </x:c>
      <x:c r="P60" s="26"/>
      <x:c r="Q60" s="13"/>
      <x:c r="R60" s="13"/>
      <x:c r="S60" s="13"/>
      <x:c r="T60" s="13"/>
    </x:row>
    <x:row r="61">
      <x:c r="A61" s="13" t="str">
        <x:v>Andrey Santos</x:v>
      </x:c>
      <x:c r="B61" s="13" t="n">
        <x:v>2030</x:v>
      </x:c>
      <x:c r="C61" s="13" t="str">
        <x:v>T4</x:v>
      </x:c>
      <x:c r="D61" s="24" t="n">
        <x:v>47848</x:v>
      </x:c>
      <x:c r="E61" s="13" t="str">
        <x:v>Volante</x:v>
      </x:c>
      <x:c r="F61" s="13" t="str">
        <x:v>Manchester United FC</x:v>
      </x:c>
      <x:c r="G61" s="16"/>
      <x:c r="H61" s="16"/>
      <x:c r="I61" s="16"/>
      <x:c r="J61" s="16"/>
      <x:c r="K61" s="16" t="str">
        <x:f>IF(COUNT(G61,I61)=0,"",AVERAGE(G61,I61))</x:f>
      </x:c>
      <x:c r="L61" s="16" t="str">
        <x:f>IF(COUNT(H61,J61)=0,"",AVERAGE(H61,J61))</x:f>
      </x:c>
      <x:c r="M61" s="16" t="str">
        <x:f>IF(OR(K61="",L61=""),"",L61-K61)</x:f>
      </x:c>
      <x:c r="N61" s="16" t="str">
        <x:f>IF(AND(A61=A60,ISNUMBER(K61),ISNUMBER(K60)),K61-K60,"")</x:f>
      </x:c>
      <x:c r="O61" s="13" t="str">
        <x:v>Sem informação</x:v>
      </x:c>
      <x:c r="P61" s="26"/>
      <x:c r="Q61" s="13"/>
      <x:c r="R61" s="13"/>
      <x:c r="S61" s="13"/>
      <x:c r="T61" s="13"/>
    </x:row>
    <x:row r="62">
      <x:c r="A62" s="13" t="str">
        <x:v>André</x:v>
      </x:c>
      <x:c r="B62" s="13" t="n">
        <x:v>2026</x:v>
      </x:c>
      <x:c r="C62" s="13" t="str">
        <x:v>T1</x:v>
      </x:c>
      <x:c r="D62" s="24" t="n">
        <x:v>46112</x:v>
      </x:c>
      <x:c r="E62" s="13" t="str">
        <x:v>Mezzala esquerdo</x:v>
      </x:c>
      <x:c r="F62" s="13" t="str">
        <x:v>Wolverhampton Wanderers</x:v>
      </x:c>
      <x:c r="G62" s="16"/>
      <x:c r="H62" s="16"/>
      <x:c r="I62" s="16"/>
      <x:c r="J62" s="16"/>
      <x:c r="K62" s="16" t="str">
        <x:f>IF(COUNT(G62,I62)=0,"",AVERAGE(G62,I62))</x:f>
      </x:c>
      <x:c r="L62" s="16" t="str">
        <x:f>IF(COUNT(H62,J62)=0,"",AVERAGE(H62,J62))</x:f>
      </x:c>
      <x:c r="M62" s="16" t="str">
        <x:f>IF(OR(K62="",L62=""),"",L62-K62)</x:f>
      </x:c>
      <x:c r="N62" s="16" t="str">
        <x:f>IF(AND(A62=A61,ISNUMBER(K62),ISNUMBER(K61)),K62-K61,"")</x:f>
      </x:c>
      <x:c r="O62" s="13" t="str">
        <x:v>Sem informação</x:v>
      </x:c>
      <x:c r="P62" s="26"/>
      <x:c r="Q62" s="13"/>
      <x:c r="R62" s="13"/>
      <x:c r="S62" s="13"/>
      <x:c r="T62" s="13"/>
    </x:row>
    <x:row r="63">
      <x:c r="A63" s="13" t="str">
        <x:v>André</x:v>
      </x:c>
      <x:c r="B63" s="13" t="n">
        <x:v>2026</x:v>
      </x:c>
      <x:c r="C63" s="13" t="str">
        <x:v>T2</x:v>
      </x:c>
      <x:c r="D63" s="24" t="n">
        <x:v>46203</x:v>
      </x:c>
      <x:c r="E63" s="13" t="str">
        <x:v>Mezzala esquerdo</x:v>
      </x:c>
      <x:c r="F63" s="13" t="str">
        <x:v>Wolverhampton Wanderers</x:v>
      </x:c>
      <x:c r="G63" s="16"/>
      <x:c r="H63" s="16"/>
      <x:c r="I63" s="16"/>
      <x:c r="J63" s="16"/>
      <x:c r="K63" s="16" t="str">
        <x:f>IF(COUNT(G63,I63)=0,"",AVERAGE(G63,I63))</x:f>
      </x:c>
      <x:c r="L63" s="16" t="str">
        <x:f>IF(COUNT(H63,J63)=0,"",AVERAGE(H63,J63))</x:f>
      </x:c>
      <x:c r="M63" s="16" t="str">
        <x:f>IF(OR(K63="",L63=""),"",L63-K63)</x:f>
      </x:c>
      <x:c r="N63" s="16" t="str">
        <x:f>IF(AND(A63=A62,ISNUMBER(K63),ISNUMBER(K62)),K63-K62,"")</x:f>
      </x:c>
      <x:c r="O63" s="13" t="str">
        <x:v>Sem informação</x:v>
      </x:c>
      <x:c r="P63" s="26"/>
      <x:c r="Q63" s="13"/>
      <x:c r="R63" s="13"/>
      <x:c r="S63" s="13"/>
      <x:c r="T63" s="13"/>
    </x:row>
    <x:row r="64">
      <x:c r="A64" s="13" t="str">
        <x:v>André</x:v>
      </x:c>
      <x:c r="B64" s="13" t="n">
        <x:v>2026</x:v>
      </x:c>
      <x:c r="C64" s="13" t="str">
        <x:v>T3</x:v>
      </x:c>
      <x:c r="D64" s="24" t="n">
        <x:v>46295</x:v>
      </x:c>
      <x:c r="E64" s="13" t="str">
        <x:v>Mezzala esquerdo</x:v>
      </x:c>
      <x:c r="F64" s="13" t="str">
        <x:v>Wolverhampton Wanderers</x:v>
      </x:c>
      <x:c r="G64" s="16"/>
      <x:c r="H64" s="16"/>
      <x:c r="I64" s="16"/>
      <x:c r="J64" s="16"/>
      <x:c r="K64" s="16" t="str">
        <x:f>IF(COUNT(G64,I64)=0,"",AVERAGE(G64,I64))</x:f>
      </x:c>
      <x:c r="L64" s="16" t="str">
        <x:f>IF(COUNT(H64,J64)=0,"",AVERAGE(H64,J64))</x:f>
      </x:c>
      <x:c r="M64" s="16" t="str">
        <x:f>IF(OR(K64="",L64=""),"",L64-K64)</x:f>
      </x:c>
      <x:c r="N64" s="16" t="str">
        <x:f>IF(AND(A64=A63,ISNUMBER(K64),ISNUMBER(K63)),K64-K63,"")</x:f>
      </x:c>
      <x:c r="O64" s="13" t="str">
        <x:v>Sem informação</x:v>
      </x:c>
      <x:c r="P64" s="26"/>
      <x:c r="Q64" s="13"/>
      <x:c r="R64" s="13"/>
      <x:c r="S64" s="13"/>
      <x:c r="T64" s="13"/>
    </x:row>
    <x:row r="65">
      <x:c r="A65" s="13" t="str">
        <x:v>André</x:v>
      </x:c>
      <x:c r="B65" s="13" t="n">
        <x:v>2026</x:v>
      </x:c>
      <x:c r="C65" s="13" t="str">
        <x:v>T4</x:v>
      </x:c>
      <x:c r="D65" s="24" t="n">
        <x:v>46387</x:v>
      </x:c>
      <x:c r="E65" s="13" t="str">
        <x:v>Mezzala esquerdo</x:v>
      </x:c>
      <x:c r="F65" s="13" t="str">
        <x:v>Wolverhampton Wanderers</x:v>
      </x:c>
      <x:c r="G65" s="16"/>
      <x:c r="H65" s="16"/>
      <x:c r="I65" s="16"/>
      <x:c r="J65" s="16"/>
      <x:c r="K65" s="16" t="str">
        <x:f>IF(COUNT(G65,I65)=0,"",AVERAGE(G65,I65))</x:f>
      </x:c>
      <x:c r="L65" s="16" t="str">
        <x:f>IF(COUNT(H65,J65)=0,"",AVERAGE(H65,J65))</x:f>
      </x:c>
      <x:c r="M65" s="16" t="str">
        <x:f>IF(OR(K65="",L65=""),"",L65-K65)</x:f>
      </x:c>
      <x:c r="N65" s="16" t="str">
        <x:f>IF(AND(A65=A64,ISNUMBER(K65),ISNUMBER(K64)),K65-K64,"")</x:f>
      </x:c>
      <x:c r="O65" s="13" t="str">
        <x:v>Sem informação</x:v>
      </x:c>
      <x:c r="P65" s="26"/>
      <x:c r="Q65" s="13"/>
      <x:c r="R65" s="13"/>
      <x:c r="S65" s="13"/>
      <x:c r="T65" s="13"/>
    </x:row>
    <x:row r="66">
      <x:c r="A66" s="13" t="str">
        <x:v>André</x:v>
      </x:c>
      <x:c r="B66" s="13" t="n">
        <x:v>2027</x:v>
      </x:c>
      <x:c r="C66" s="13" t="str">
        <x:v>T1</x:v>
      </x:c>
      <x:c r="D66" s="24" t="n">
        <x:v>46477</x:v>
      </x:c>
      <x:c r="E66" s="13" t="str">
        <x:v>Mezzala esquerdo</x:v>
      </x:c>
      <x:c r="F66" s="13" t="str">
        <x:v>Wolverhampton Wanderers</x:v>
      </x:c>
      <x:c r="G66" s="16"/>
      <x:c r="H66" s="16"/>
      <x:c r="I66" s="16"/>
      <x:c r="J66" s="16"/>
      <x:c r="K66" s="16" t="str">
        <x:f>IF(COUNT(G66,I66)=0,"",AVERAGE(G66,I66))</x:f>
      </x:c>
      <x:c r="L66" s="16" t="str">
        <x:f>IF(COUNT(H66,J66)=0,"",AVERAGE(H66,J66))</x:f>
      </x:c>
      <x:c r="M66" s="16" t="str">
        <x:f>IF(OR(K66="",L66=""),"",L66-K66)</x:f>
      </x:c>
      <x:c r="N66" s="16" t="str">
        <x:f>IF(AND(A66=A65,ISNUMBER(K66),ISNUMBER(K65)),K66-K65,"")</x:f>
      </x:c>
      <x:c r="O66" s="13" t="str">
        <x:v>Sem informação</x:v>
      </x:c>
      <x:c r="P66" s="26"/>
      <x:c r="Q66" s="13"/>
      <x:c r="R66" s="13"/>
      <x:c r="S66" s="13"/>
      <x:c r="T66" s="13"/>
    </x:row>
    <x:row r="67">
      <x:c r="A67" s="13" t="str">
        <x:v>André</x:v>
      </x:c>
      <x:c r="B67" s="13" t="n">
        <x:v>2027</x:v>
      </x:c>
      <x:c r="C67" s="13" t="str">
        <x:v>T2</x:v>
      </x:c>
      <x:c r="D67" s="24" t="n">
        <x:v>46568</x:v>
      </x:c>
      <x:c r="E67" s="13" t="str">
        <x:v>Mezzala esquerdo</x:v>
      </x:c>
      <x:c r="F67" s="13" t="str">
        <x:v>Wolverhampton Wanderers</x:v>
      </x:c>
      <x:c r="G67" s="16"/>
      <x:c r="H67" s="16"/>
      <x:c r="I67" s="16"/>
      <x:c r="J67" s="16"/>
      <x:c r="K67" s="16" t="str">
        <x:f>IF(COUNT(G67,I67)=0,"",AVERAGE(G67,I67))</x:f>
      </x:c>
      <x:c r="L67" s="16" t="str">
        <x:f>IF(COUNT(H67,J67)=0,"",AVERAGE(H67,J67))</x:f>
      </x:c>
      <x:c r="M67" s="16" t="str">
        <x:f>IF(OR(K67="",L67=""),"",L67-K67)</x:f>
      </x:c>
      <x:c r="N67" s="16" t="str">
        <x:f>IF(AND(A67=A66,ISNUMBER(K67),ISNUMBER(K66)),K67-K66,"")</x:f>
      </x:c>
      <x:c r="O67" s="13" t="str">
        <x:v>Sem informação</x:v>
      </x:c>
      <x:c r="P67" s="26"/>
      <x:c r="Q67" s="13"/>
      <x:c r="R67" s="13"/>
      <x:c r="S67" s="13"/>
      <x:c r="T67" s="13"/>
    </x:row>
    <x:row r="68">
      <x:c r="A68" s="13" t="str">
        <x:v>André</x:v>
      </x:c>
      <x:c r="B68" s="13" t="n">
        <x:v>2027</x:v>
      </x:c>
      <x:c r="C68" s="13" t="str">
        <x:v>T3</x:v>
      </x:c>
      <x:c r="D68" s="24" t="n">
        <x:v>46660</x:v>
      </x:c>
      <x:c r="E68" s="13" t="str">
        <x:v>Mezzala esquerdo</x:v>
      </x:c>
      <x:c r="F68" s="13" t="str">
        <x:v>Wolverhampton Wanderers</x:v>
      </x:c>
      <x:c r="G68" s="16"/>
      <x:c r="H68" s="16"/>
      <x:c r="I68" s="16"/>
      <x:c r="J68" s="16"/>
      <x:c r="K68" s="16" t="str">
        <x:f>IF(COUNT(G68,I68)=0,"",AVERAGE(G68,I68))</x:f>
      </x:c>
      <x:c r="L68" s="16" t="str">
        <x:f>IF(COUNT(H68,J68)=0,"",AVERAGE(H68,J68))</x:f>
      </x:c>
      <x:c r="M68" s="16" t="str">
        <x:f>IF(OR(K68="",L68=""),"",L68-K68)</x:f>
      </x:c>
      <x:c r="N68" s="16" t="str">
        <x:f>IF(AND(A68=A67,ISNUMBER(K68),ISNUMBER(K67)),K68-K67,"")</x:f>
      </x:c>
      <x:c r="O68" s="13" t="str">
        <x:v>Sem informação</x:v>
      </x:c>
      <x:c r="P68" s="26"/>
      <x:c r="Q68" s="13"/>
      <x:c r="R68" s="13"/>
      <x:c r="S68" s="13"/>
      <x:c r="T68" s="13"/>
    </x:row>
    <x:row r="69">
      <x:c r="A69" s="13" t="str">
        <x:v>André</x:v>
      </x:c>
      <x:c r="B69" s="13" t="n">
        <x:v>2027</x:v>
      </x:c>
      <x:c r="C69" s="13" t="str">
        <x:v>T4</x:v>
      </x:c>
      <x:c r="D69" s="24" t="n">
        <x:v>46752</x:v>
      </x:c>
      <x:c r="E69" s="13" t="str">
        <x:v>Mezzala esquerdo</x:v>
      </x:c>
      <x:c r="F69" s="13" t="str">
        <x:v>Wolverhampton Wanderers</x:v>
      </x:c>
      <x:c r="G69" s="16"/>
      <x:c r="H69" s="16"/>
      <x:c r="I69" s="16"/>
      <x:c r="J69" s="16"/>
      <x:c r="K69" s="16" t="str">
        <x:f>IF(COUNT(G69,I69)=0,"",AVERAGE(G69,I69))</x:f>
      </x:c>
      <x:c r="L69" s="16" t="str">
        <x:f>IF(COUNT(H69,J69)=0,"",AVERAGE(H69,J69))</x:f>
      </x:c>
      <x:c r="M69" s="16" t="str">
        <x:f>IF(OR(K69="",L69=""),"",L69-K69)</x:f>
      </x:c>
      <x:c r="N69" s="16" t="str">
        <x:f>IF(AND(A69=A68,ISNUMBER(K69),ISNUMBER(K68)),K69-K68,"")</x:f>
      </x:c>
      <x:c r="O69" s="13" t="str">
        <x:v>Sem informação</x:v>
      </x:c>
      <x:c r="P69" s="26"/>
      <x:c r="Q69" s="13"/>
      <x:c r="R69" s="13"/>
      <x:c r="S69" s="13"/>
      <x:c r="T69" s="13"/>
    </x:row>
    <x:row r="70">
      <x:c r="A70" s="13" t="str">
        <x:v>André</x:v>
      </x:c>
      <x:c r="B70" s="13" t="n">
        <x:v>2028</x:v>
      </x:c>
      <x:c r="C70" s="13" t="str">
        <x:v>T1</x:v>
      </x:c>
      <x:c r="D70" s="24" t="n">
        <x:v>46843</x:v>
      </x:c>
      <x:c r="E70" s="13" t="str">
        <x:v>Mezzala esquerdo</x:v>
      </x:c>
      <x:c r="F70" s="13" t="str">
        <x:v>Wolverhampton Wanderers</x:v>
      </x:c>
      <x:c r="G70" s="16"/>
      <x:c r="H70" s="16"/>
      <x:c r="I70" s="16"/>
      <x:c r="J70" s="16"/>
      <x:c r="K70" s="16" t="str">
        <x:f>IF(COUNT(G70,I70)=0,"",AVERAGE(G70,I70))</x:f>
      </x:c>
      <x:c r="L70" s="16" t="str">
        <x:f>IF(COUNT(H70,J70)=0,"",AVERAGE(H70,J70))</x:f>
      </x:c>
      <x:c r="M70" s="16" t="str">
        <x:f>IF(OR(K70="",L70=""),"",L70-K70)</x:f>
      </x:c>
      <x:c r="N70" s="16" t="str">
        <x:f>IF(AND(A70=A69,ISNUMBER(K70),ISNUMBER(K69)),K70-K69,"")</x:f>
      </x:c>
      <x:c r="O70" s="13" t="str">
        <x:v>Sem informação</x:v>
      </x:c>
      <x:c r="P70" s="26"/>
      <x:c r="Q70" s="13"/>
      <x:c r="R70" s="13"/>
      <x:c r="S70" s="13"/>
      <x:c r="T70" s="13"/>
    </x:row>
    <x:row r="71">
      <x:c r="A71" s="13" t="str">
        <x:v>André</x:v>
      </x:c>
      <x:c r="B71" s="13" t="n">
        <x:v>2028</x:v>
      </x:c>
      <x:c r="C71" s="13" t="str">
        <x:v>T2</x:v>
      </x:c>
      <x:c r="D71" s="24" t="n">
        <x:v>46934</x:v>
      </x:c>
      <x:c r="E71" s="13" t="str">
        <x:v>Mezzala esquerdo</x:v>
      </x:c>
      <x:c r="F71" s="13" t="str">
        <x:v>Wolverhampton Wanderers</x:v>
      </x:c>
      <x:c r="G71" s="16"/>
      <x:c r="H71" s="16"/>
      <x:c r="I71" s="16"/>
      <x:c r="J71" s="16"/>
      <x:c r="K71" s="16" t="str">
        <x:f>IF(COUNT(G71,I71)=0,"",AVERAGE(G71,I71))</x:f>
      </x:c>
      <x:c r="L71" s="16" t="str">
        <x:f>IF(COUNT(H71,J71)=0,"",AVERAGE(H71,J71))</x:f>
      </x:c>
      <x:c r="M71" s="16" t="str">
        <x:f>IF(OR(K71="",L71=""),"",L71-K71)</x:f>
      </x:c>
      <x:c r="N71" s="16" t="str">
        <x:f>IF(AND(A71=A70,ISNUMBER(K71),ISNUMBER(K70)),K71-K70,"")</x:f>
      </x:c>
      <x:c r="O71" s="13" t="str">
        <x:v>Sem informação</x:v>
      </x:c>
      <x:c r="P71" s="26"/>
      <x:c r="Q71" s="13"/>
      <x:c r="R71" s="13"/>
      <x:c r="S71" s="13"/>
      <x:c r="T71" s="13"/>
    </x:row>
    <x:row r="72">
      <x:c r="A72" s="13" t="str">
        <x:v>André</x:v>
      </x:c>
      <x:c r="B72" s="13" t="n">
        <x:v>2028</x:v>
      </x:c>
      <x:c r="C72" s="13" t="str">
        <x:v>T3</x:v>
      </x:c>
      <x:c r="D72" s="24" t="n">
        <x:v>47026</x:v>
      </x:c>
      <x:c r="E72" s="13" t="str">
        <x:v>Mezzala esquerdo</x:v>
      </x:c>
      <x:c r="F72" s="13" t="str">
        <x:v>Wolverhampton Wanderers</x:v>
      </x:c>
      <x:c r="G72" s="16"/>
      <x:c r="H72" s="16"/>
      <x:c r="I72" s="16"/>
      <x:c r="J72" s="16"/>
      <x:c r="K72" s="16" t="str">
        <x:f>IF(COUNT(G72,I72)=0,"",AVERAGE(G72,I72))</x:f>
      </x:c>
      <x:c r="L72" s="16" t="str">
        <x:f>IF(COUNT(H72,J72)=0,"",AVERAGE(H72,J72))</x:f>
      </x:c>
      <x:c r="M72" s="16" t="str">
        <x:f>IF(OR(K72="",L72=""),"",L72-K72)</x:f>
      </x:c>
      <x:c r="N72" s="16" t="str">
        <x:f>IF(AND(A72=A71,ISNUMBER(K72),ISNUMBER(K71)),K72-K71,"")</x:f>
      </x:c>
      <x:c r="O72" s="13" t="str">
        <x:v>Sem informação</x:v>
      </x:c>
      <x:c r="P72" s="26"/>
      <x:c r="Q72" s="13"/>
      <x:c r="R72" s="13"/>
      <x:c r="S72" s="13"/>
      <x:c r="T72" s="13"/>
    </x:row>
    <x:row r="73">
      <x:c r="A73" s="13" t="str">
        <x:v>André</x:v>
      </x:c>
      <x:c r="B73" s="13" t="n">
        <x:v>2028</x:v>
      </x:c>
      <x:c r="C73" s="13" t="str">
        <x:v>T4</x:v>
      </x:c>
      <x:c r="D73" s="24" t="n">
        <x:v>47118</x:v>
      </x:c>
      <x:c r="E73" s="13" t="str">
        <x:v>Mezzala esquerdo</x:v>
      </x:c>
      <x:c r="F73" s="13" t="str">
        <x:v>Wolverhampton Wanderers</x:v>
      </x:c>
      <x:c r="G73" s="16"/>
      <x:c r="H73" s="16"/>
      <x:c r="I73" s="16"/>
      <x:c r="J73" s="16"/>
      <x:c r="K73" s="16" t="str">
        <x:f>IF(COUNT(G73,I73)=0,"",AVERAGE(G73,I73))</x:f>
      </x:c>
      <x:c r="L73" s="16" t="str">
        <x:f>IF(COUNT(H73,J73)=0,"",AVERAGE(H73,J73))</x:f>
      </x:c>
      <x:c r="M73" s="16" t="str">
        <x:f>IF(OR(K73="",L73=""),"",L73-K73)</x:f>
      </x:c>
      <x:c r="N73" s="16" t="str">
        <x:f>IF(AND(A73=A72,ISNUMBER(K73),ISNUMBER(K72)),K73-K72,"")</x:f>
      </x:c>
      <x:c r="O73" s="13" t="str">
        <x:v>Sem informação</x:v>
      </x:c>
      <x:c r="P73" s="26"/>
      <x:c r="Q73" s="13"/>
      <x:c r="R73" s="13"/>
      <x:c r="S73" s="13"/>
      <x:c r="T73" s="13"/>
    </x:row>
    <x:row r="74">
      <x:c r="A74" s="13" t="str">
        <x:v>André</x:v>
      </x:c>
      <x:c r="B74" s="13" t="n">
        <x:v>2029</x:v>
      </x:c>
      <x:c r="C74" s="13" t="str">
        <x:v>T1</x:v>
      </x:c>
      <x:c r="D74" s="24" t="n">
        <x:v>47208</x:v>
      </x:c>
      <x:c r="E74" s="13" t="str">
        <x:v>Mezzala esquerdo</x:v>
      </x:c>
      <x:c r="F74" s="13" t="str">
        <x:v>Wolverhampton Wanderers</x:v>
      </x:c>
      <x:c r="G74" s="16"/>
      <x:c r="H74" s="16"/>
      <x:c r="I74" s="16"/>
      <x:c r="J74" s="16"/>
      <x:c r="K74" s="16" t="str">
        <x:f>IF(COUNT(G74,I74)=0,"",AVERAGE(G74,I74))</x:f>
      </x:c>
      <x:c r="L74" s="16" t="str">
        <x:f>IF(COUNT(H74,J74)=0,"",AVERAGE(H74,J74))</x:f>
      </x:c>
      <x:c r="M74" s="16" t="str">
        <x:f>IF(OR(K74="",L74=""),"",L74-K74)</x:f>
      </x:c>
      <x:c r="N74" s="16" t="str">
        <x:f>IF(AND(A74=A73,ISNUMBER(K74),ISNUMBER(K73)),K74-K73,"")</x:f>
      </x:c>
      <x:c r="O74" s="13" t="str">
        <x:v>Sem informação</x:v>
      </x:c>
      <x:c r="P74" s="26"/>
      <x:c r="Q74" s="13"/>
      <x:c r="R74" s="13"/>
      <x:c r="S74" s="13"/>
      <x:c r="T74" s="13"/>
    </x:row>
    <x:row r="75">
      <x:c r="A75" s="13" t="str">
        <x:v>André</x:v>
      </x:c>
      <x:c r="B75" s="13" t="n">
        <x:v>2029</x:v>
      </x:c>
      <x:c r="C75" s="13" t="str">
        <x:v>T2</x:v>
      </x:c>
      <x:c r="D75" s="24" t="n">
        <x:v>47299</x:v>
      </x:c>
      <x:c r="E75" s="13" t="str">
        <x:v>Mezzala esquerdo</x:v>
      </x:c>
      <x:c r="F75" s="13" t="str">
        <x:v>Wolverhampton Wanderers</x:v>
      </x:c>
      <x:c r="G75" s="16"/>
      <x:c r="H75" s="16"/>
      <x:c r="I75" s="16"/>
      <x:c r="J75" s="16"/>
      <x:c r="K75" s="16" t="str">
        <x:f>IF(COUNT(G75,I75)=0,"",AVERAGE(G75,I75))</x:f>
      </x:c>
      <x:c r="L75" s="16" t="str">
        <x:f>IF(COUNT(H75,J75)=0,"",AVERAGE(H75,J75))</x:f>
      </x:c>
      <x:c r="M75" s="16" t="str">
        <x:f>IF(OR(K75="",L75=""),"",L75-K75)</x:f>
      </x:c>
      <x:c r="N75" s="16" t="str">
        <x:f>IF(AND(A75=A74,ISNUMBER(K75),ISNUMBER(K74)),K75-K74,"")</x:f>
      </x:c>
      <x:c r="O75" s="13" t="str">
        <x:v>Sem informação</x:v>
      </x:c>
      <x:c r="P75" s="26"/>
      <x:c r="Q75" s="13"/>
      <x:c r="R75" s="13"/>
      <x:c r="S75" s="13"/>
      <x:c r="T75" s="13"/>
    </x:row>
    <x:row r="76">
      <x:c r="A76" s="13" t="str">
        <x:v>André</x:v>
      </x:c>
      <x:c r="B76" s="13" t="n">
        <x:v>2029</x:v>
      </x:c>
      <x:c r="C76" s="13" t="str">
        <x:v>T3</x:v>
      </x:c>
      <x:c r="D76" s="24" t="n">
        <x:v>47391</x:v>
      </x:c>
      <x:c r="E76" s="13" t="str">
        <x:v>Mezzala esquerdo</x:v>
      </x:c>
      <x:c r="F76" s="13" t="str">
        <x:v>Wolverhampton Wanderers</x:v>
      </x:c>
      <x:c r="G76" s="16"/>
      <x:c r="H76" s="16"/>
      <x:c r="I76" s="16"/>
      <x:c r="J76" s="16"/>
      <x:c r="K76" s="16" t="str">
        <x:f>IF(COUNT(G76,I76)=0,"",AVERAGE(G76,I76))</x:f>
      </x:c>
      <x:c r="L76" s="16" t="str">
        <x:f>IF(COUNT(H76,J76)=0,"",AVERAGE(H76,J76))</x:f>
      </x:c>
      <x:c r="M76" s="16" t="str">
        <x:f>IF(OR(K76="",L76=""),"",L76-K76)</x:f>
      </x:c>
      <x:c r="N76" s="16" t="str">
        <x:f>IF(AND(A76=A75,ISNUMBER(K76),ISNUMBER(K75)),K76-K75,"")</x:f>
      </x:c>
      <x:c r="O76" s="13" t="str">
        <x:v>Sem informação</x:v>
      </x:c>
      <x:c r="P76" s="26"/>
      <x:c r="Q76" s="13"/>
      <x:c r="R76" s="13"/>
      <x:c r="S76" s="13"/>
      <x:c r="T76" s="13"/>
    </x:row>
    <x:row r="77">
      <x:c r="A77" s="13" t="str">
        <x:v>André</x:v>
      </x:c>
      <x:c r="B77" s="13" t="n">
        <x:v>2029</x:v>
      </x:c>
      <x:c r="C77" s="13" t="str">
        <x:v>T4</x:v>
      </x:c>
      <x:c r="D77" s="24" t="n">
        <x:v>47483</x:v>
      </x:c>
      <x:c r="E77" s="13" t="str">
        <x:v>Mezzala esquerdo</x:v>
      </x:c>
      <x:c r="F77" s="13" t="str">
        <x:v>Wolverhampton Wanderers</x:v>
      </x:c>
      <x:c r="G77" s="16"/>
      <x:c r="H77" s="16"/>
      <x:c r="I77" s="16"/>
      <x:c r="J77" s="16"/>
      <x:c r="K77" s="16" t="str">
        <x:f>IF(COUNT(G77,I77)=0,"",AVERAGE(G77,I77))</x:f>
      </x:c>
      <x:c r="L77" s="16" t="str">
        <x:f>IF(COUNT(H77,J77)=0,"",AVERAGE(H77,J77))</x:f>
      </x:c>
      <x:c r="M77" s="16" t="str">
        <x:f>IF(OR(K77="",L77=""),"",L77-K77)</x:f>
      </x:c>
      <x:c r="N77" s="16" t="str">
        <x:f>IF(AND(A77=A76,ISNUMBER(K77),ISNUMBER(K76)),K77-K76,"")</x:f>
      </x:c>
      <x:c r="O77" s="13" t="str">
        <x:v>Sem informação</x:v>
      </x:c>
      <x:c r="P77" s="26"/>
      <x:c r="Q77" s="13"/>
      <x:c r="R77" s="13"/>
      <x:c r="S77" s="13"/>
      <x:c r="T77" s="13"/>
    </x:row>
    <x:row r="78">
      <x:c r="A78" s="13" t="str">
        <x:v>André</x:v>
      </x:c>
      <x:c r="B78" s="13" t="n">
        <x:v>2030</x:v>
      </x:c>
      <x:c r="C78" s="13" t="str">
        <x:v>T1</x:v>
      </x:c>
      <x:c r="D78" s="24" t="n">
        <x:v>47573</x:v>
      </x:c>
      <x:c r="E78" s="13" t="str">
        <x:v>Mezzala esquerdo</x:v>
      </x:c>
      <x:c r="F78" s="13" t="str">
        <x:v>Wolverhampton Wanderers</x:v>
      </x:c>
      <x:c r="G78" s="16"/>
      <x:c r="H78" s="16"/>
      <x:c r="I78" s="16"/>
      <x:c r="J78" s="16"/>
      <x:c r="K78" s="16" t="str">
        <x:f>IF(COUNT(G78,I78)=0,"",AVERAGE(G78,I78))</x:f>
      </x:c>
      <x:c r="L78" s="16" t="str">
        <x:f>IF(COUNT(H78,J78)=0,"",AVERAGE(H78,J78))</x:f>
      </x:c>
      <x:c r="M78" s="16" t="str">
        <x:f>IF(OR(K78="",L78=""),"",L78-K78)</x:f>
      </x:c>
      <x:c r="N78" s="16" t="str">
        <x:f>IF(AND(A78=A77,ISNUMBER(K78),ISNUMBER(K77)),K78-K77,"")</x:f>
      </x:c>
      <x:c r="O78" s="13" t="str">
        <x:v>Sem informação</x:v>
      </x:c>
      <x:c r="P78" s="26"/>
      <x:c r="Q78" s="13"/>
      <x:c r="R78" s="13"/>
      <x:c r="S78" s="13"/>
      <x:c r="T78" s="13"/>
    </x:row>
    <x:row r="79">
      <x:c r="A79" s="13" t="str">
        <x:v>André</x:v>
      </x:c>
      <x:c r="B79" s="13" t="n">
        <x:v>2030</x:v>
      </x:c>
      <x:c r="C79" s="13" t="str">
        <x:v>T2</x:v>
      </x:c>
      <x:c r="D79" s="24" t="n">
        <x:v>47664</x:v>
      </x:c>
      <x:c r="E79" s="13" t="str">
        <x:v>Mezzala esquerdo</x:v>
      </x:c>
      <x:c r="F79" s="13" t="str">
        <x:v>Wolverhampton Wanderers</x:v>
      </x:c>
      <x:c r="G79" s="16"/>
      <x:c r="H79" s="16"/>
      <x:c r="I79" s="16"/>
      <x:c r="J79" s="16"/>
      <x:c r="K79" s="16" t="str">
        <x:f>IF(COUNT(G79,I79)=0,"",AVERAGE(G79,I79))</x:f>
      </x:c>
      <x:c r="L79" s="16" t="str">
        <x:f>IF(COUNT(H79,J79)=0,"",AVERAGE(H79,J79))</x:f>
      </x:c>
      <x:c r="M79" s="16" t="str">
        <x:f>IF(OR(K79="",L79=""),"",L79-K79)</x:f>
      </x:c>
      <x:c r="N79" s="16" t="str">
        <x:f>IF(AND(A79=A78,ISNUMBER(K79),ISNUMBER(K78)),K79-K78,"")</x:f>
      </x:c>
      <x:c r="O79" s="13" t="str">
        <x:v>Sem informação</x:v>
      </x:c>
      <x:c r="P79" s="26"/>
      <x:c r="Q79" s="13"/>
      <x:c r="R79" s="13"/>
      <x:c r="S79" s="13"/>
      <x:c r="T79" s="13"/>
    </x:row>
    <x:row r="80">
      <x:c r="A80" s="13" t="str">
        <x:v>André</x:v>
      </x:c>
      <x:c r="B80" s="13" t="n">
        <x:v>2030</x:v>
      </x:c>
      <x:c r="C80" s="13" t="str">
        <x:v>T3</x:v>
      </x:c>
      <x:c r="D80" s="24" t="n">
        <x:v>47756</x:v>
      </x:c>
      <x:c r="E80" s="13" t="str">
        <x:v>Mezzala esquerdo</x:v>
      </x:c>
      <x:c r="F80" s="13" t="str">
        <x:v>Wolverhampton Wanderers</x:v>
      </x:c>
      <x:c r="G80" s="16"/>
      <x:c r="H80" s="16"/>
      <x:c r="I80" s="16"/>
      <x:c r="J80" s="16"/>
      <x:c r="K80" s="16" t="str">
        <x:f>IF(COUNT(G80,I80)=0,"",AVERAGE(G80,I80))</x:f>
      </x:c>
      <x:c r="L80" s="16" t="str">
        <x:f>IF(COUNT(H80,J80)=0,"",AVERAGE(H80,J80))</x:f>
      </x:c>
      <x:c r="M80" s="16" t="str">
        <x:f>IF(OR(K80="",L80=""),"",L80-K80)</x:f>
      </x:c>
      <x:c r="N80" s="16" t="str">
        <x:f>IF(AND(A80=A79,ISNUMBER(K80),ISNUMBER(K79)),K80-K79,"")</x:f>
      </x:c>
      <x:c r="O80" s="13" t="str">
        <x:v>Sem informação</x:v>
      </x:c>
      <x:c r="P80" s="26"/>
      <x:c r="Q80" s="13"/>
      <x:c r="R80" s="13"/>
      <x:c r="S80" s="13"/>
      <x:c r="T80" s="13"/>
    </x:row>
    <x:row r="81">
      <x:c r="A81" s="13" t="str">
        <x:v>André</x:v>
      </x:c>
      <x:c r="B81" s="13" t="n">
        <x:v>2030</x:v>
      </x:c>
      <x:c r="C81" s="13" t="str">
        <x:v>T4</x:v>
      </x:c>
      <x:c r="D81" s="24" t="n">
        <x:v>47848</x:v>
      </x:c>
      <x:c r="E81" s="13" t="str">
        <x:v>Mezzala esquerdo</x:v>
      </x:c>
      <x:c r="F81" s="13" t="str">
        <x:v>Wolverhampton Wanderers</x:v>
      </x:c>
      <x:c r="G81" s="16"/>
      <x:c r="H81" s="16"/>
      <x:c r="I81" s="16"/>
      <x:c r="J81" s="16"/>
      <x:c r="K81" s="16" t="str">
        <x:f>IF(COUNT(G81,I81)=0,"",AVERAGE(G81,I81))</x:f>
      </x:c>
      <x:c r="L81" s="16" t="str">
        <x:f>IF(COUNT(H81,J81)=0,"",AVERAGE(H81,J81))</x:f>
      </x:c>
      <x:c r="M81" s="16" t="str">
        <x:f>IF(OR(K81="",L81=""),"",L81-K81)</x:f>
      </x:c>
      <x:c r="N81" s="16" t="str">
        <x:f>IF(AND(A81=A80,ISNUMBER(K81),ISNUMBER(K80)),K81-K80,"")</x:f>
      </x:c>
      <x:c r="O81" s="13" t="str">
        <x:v>Sem informação</x:v>
      </x:c>
      <x:c r="P81" s="26"/>
      <x:c r="Q81" s="13"/>
      <x:c r="R81" s="13"/>
      <x:c r="S81" s="13"/>
      <x:c r="T81" s="13"/>
    </x:row>
    <x:row r="82">
      <x:c r="A82" s="13" t="str">
        <x:v>Antony</x:v>
      </x:c>
      <x:c r="B82" s="13" t="n">
        <x:v>2026</x:v>
      </x:c>
      <x:c r="C82" s="13" t="str">
        <x:v>T1</x:v>
      </x:c>
      <x:c r="D82" s="24" t="n">
        <x:v>46112</x:v>
      </x:c>
      <x:c r="E82" s="13" t="str">
        <x:v>Ponta-direita</x:v>
      </x:c>
      <x:c r="F82" s="13" t="str">
        <x:v>Real Betis</x:v>
      </x:c>
      <x:c r="G82" s="16"/>
      <x:c r="H82" s="16"/>
      <x:c r="I82" s="16"/>
      <x:c r="J82" s="16"/>
      <x:c r="K82" s="16" t="str">
        <x:f>IF(COUNT(G82,I82)=0,"",AVERAGE(G82,I82))</x:f>
      </x:c>
      <x:c r="L82" s="16" t="str">
        <x:f>IF(COUNT(H82,J82)=0,"",AVERAGE(H82,J82))</x:f>
      </x:c>
      <x:c r="M82" s="16" t="str">
        <x:f>IF(OR(K82="",L82=""),"",L82-K82)</x:f>
      </x:c>
      <x:c r="N82" s="16" t="str">
        <x:f>IF(AND(A82=A81,ISNUMBER(K82),ISNUMBER(K81)),K82-K81,"")</x:f>
      </x:c>
      <x:c r="O82" s="13" t="str">
        <x:v>Sem informação</x:v>
      </x:c>
      <x:c r="P82" s="26"/>
      <x:c r="Q82" s="13"/>
      <x:c r="R82" s="13"/>
      <x:c r="S82" s="13"/>
      <x:c r="T82" s="13"/>
    </x:row>
    <x:row r="83">
      <x:c r="A83" s="13" t="str">
        <x:v>Antony</x:v>
      </x:c>
      <x:c r="B83" s="13" t="n">
        <x:v>2026</x:v>
      </x:c>
      <x:c r="C83" s="13" t="str">
        <x:v>T2</x:v>
      </x:c>
      <x:c r="D83" s="24" t="n">
        <x:v>46203</x:v>
      </x:c>
      <x:c r="E83" s="13" t="str">
        <x:v>Ponta-direita</x:v>
      </x:c>
      <x:c r="F83" s="13" t="str">
        <x:v>Real Betis</x:v>
      </x:c>
      <x:c r="G83" s="16"/>
      <x:c r="H83" s="16"/>
      <x:c r="I83" s="16"/>
      <x:c r="J83" s="16"/>
      <x:c r="K83" s="16" t="str">
        <x:f>IF(COUNT(G83,I83)=0,"",AVERAGE(G83,I83))</x:f>
      </x:c>
      <x:c r="L83" s="16" t="str">
        <x:f>IF(COUNT(H83,J83)=0,"",AVERAGE(H83,J83))</x:f>
      </x:c>
      <x:c r="M83" s="16" t="str">
        <x:f>IF(OR(K83="",L83=""),"",L83-K83)</x:f>
      </x:c>
      <x:c r="N83" s="16" t="str">
        <x:f>IF(AND(A83=A82,ISNUMBER(K83),ISNUMBER(K82)),K83-K82,"")</x:f>
      </x:c>
      <x:c r="O83" s="13" t="str">
        <x:v>Sem informação</x:v>
      </x:c>
      <x:c r="P83" s="26"/>
      <x:c r="Q83" s="13"/>
      <x:c r="R83" s="13"/>
      <x:c r="S83" s="13"/>
      <x:c r="T83" s="13"/>
    </x:row>
    <x:row r="84">
      <x:c r="A84" s="13" t="str">
        <x:v>Antony</x:v>
      </x:c>
      <x:c r="B84" s="13" t="n">
        <x:v>2026</x:v>
      </x:c>
      <x:c r="C84" s="13" t="str">
        <x:v>T3</x:v>
      </x:c>
      <x:c r="D84" s="24" t="n">
        <x:v>46295</x:v>
      </x:c>
      <x:c r="E84" s="13" t="str">
        <x:v>Ponta-direita</x:v>
      </x:c>
      <x:c r="F84" s="13" t="str">
        <x:v>Real Betis</x:v>
      </x:c>
      <x:c r="G84" s="16"/>
      <x:c r="H84" s="16"/>
      <x:c r="I84" s="16"/>
      <x:c r="J84" s="16"/>
      <x:c r="K84" s="16" t="str">
        <x:f>IF(COUNT(G84,I84)=0,"",AVERAGE(G84,I84))</x:f>
      </x:c>
      <x:c r="L84" s="16" t="str">
        <x:f>IF(COUNT(H84,J84)=0,"",AVERAGE(H84,J84))</x:f>
      </x:c>
      <x:c r="M84" s="16" t="str">
        <x:f>IF(OR(K84="",L84=""),"",L84-K84)</x:f>
      </x:c>
      <x:c r="N84" s="16" t="str">
        <x:f>IF(AND(A84=A83,ISNUMBER(K84),ISNUMBER(K83)),K84-K83,"")</x:f>
      </x:c>
      <x:c r="O84" s="13" t="str">
        <x:v>Sem informação</x:v>
      </x:c>
      <x:c r="P84" s="26"/>
      <x:c r="Q84" s="13"/>
      <x:c r="R84" s="13"/>
      <x:c r="S84" s="13"/>
      <x:c r="T84" s="13"/>
    </x:row>
    <x:row r="85">
      <x:c r="A85" s="13" t="str">
        <x:v>Antony</x:v>
      </x:c>
      <x:c r="B85" s="13" t="n">
        <x:v>2026</x:v>
      </x:c>
      <x:c r="C85" s="13" t="str">
        <x:v>T4</x:v>
      </x:c>
      <x:c r="D85" s="24" t="n">
        <x:v>46387</x:v>
      </x:c>
      <x:c r="E85" s="13" t="str">
        <x:v>Ponta-direita</x:v>
      </x:c>
      <x:c r="F85" s="13" t="str">
        <x:v>Real Betis</x:v>
      </x:c>
      <x:c r="G85" s="16"/>
      <x:c r="H85" s="16"/>
      <x:c r="I85" s="16"/>
      <x:c r="J85" s="16"/>
      <x:c r="K85" s="16" t="str">
        <x:f>IF(COUNT(G85,I85)=0,"",AVERAGE(G85,I85))</x:f>
      </x:c>
      <x:c r="L85" s="16" t="str">
        <x:f>IF(COUNT(H85,J85)=0,"",AVERAGE(H85,J85))</x:f>
      </x:c>
      <x:c r="M85" s="16" t="str">
        <x:f>IF(OR(K85="",L85=""),"",L85-K85)</x:f>
      </x:c>
      <x:c r="N85" s="16" t="str">
        <x:f>IF(AND(A85=A84,ISNUMBER(K85),ISNUMBER(K84)),K85-K84,"")</x:f>
      </x:c>
      <x:c r="O85" s="13" t="str">
        <x:v>Sem informação</x:v>
      </x:c>
      <x:c r="P85" s="26"/>
      <x:c r="Q85" s="13"/>
      <x:c r="R85" s="13"/>
      <x:c r="S85" s="13"/>
      <x:c r="T85" s="13"/>
    </x:row>
    <x:row r="86">
      <x:c r="A86" s="13" t="str">
        <x:v>Antony</x:v>
      </x:c>
      <x:c r="B86" s="13" t="n">
        <x:v>2027</x:v>
      </x:c>
      <x:c r="C86" s="13" t="str">
        <x:v>T1</x:v>
      </x:c>
      <x:c r="D86" s="24" t="n">
        <x:v>46477</x:v>
      </x:c>
      <x:c r="E86" s="13" t="str">
        <x:v>Ponta-direita</x:v>
      </x:c>
      <x:c r="F86" s="13" t="str">
        <x:v>Real Betis</x:v>
      </x:c>
      <x:c r="G86" s="16"/>
      <x:c r="H86" s="16"/>
      <x:c r="I86" s="16"/>
      <x:c r="J86" s="16"/>
      <x:c r="K86" s="16" t="str">
        <x:f>IF(COUNT(G86,I86)=0,"",AVERAGE(G86,I86))</x:f>
      </x:c>
      <x:c r="L86" s="16" t="str">
        <x:f>IF(COUNT(H86,J86)=0,"",AVERAGE(H86,J86))</x:f>
      </x:c>
      <x:c r="M86" s="16" t="str">
        <x:f>IF(OR(K86="",L86=""),"",L86-K86)</x:f>
      </x:c>
      <x:c r="N86" s="16" t="str">
        <x:f>IF(AND(A86=A85,ISNUMBER(K86),ISNUMBER(K85)),K86-K85,"")</x:f>
      </x:c>
      <x:c r="O86" s="13" t="str">
        <x:v>Sem informação</x:v>
      </x:c>
      <x:c r="P86" s="26"/>
      <x:c r="Q86" s="13"/>
      <x:c r="R86" s="13"/>
      <x:c r="S86" s="13"/>
      <x:c r="T86" s="13"/>
    </x:row>
    <x:row r="87">
      <x:c r="A87" s="13" t="str">
        <x:v>Antony</x:v>
      </x:c>
      <x:c r="B87" s="13" t="n">
        <x:v>2027</x:v>
      </x:c>
      <x:c r="C87" s="13" t="str">
        <x:v>T2</x:v>
      </x:c>
      <x:c r="D87" s="24" t="n">
        <x:v>46568</x:v>
      </x:c>
      <x:c r="E87" s="13" t="str">
        <x:v>Ponta-direita</x:v>
      </x:c>
      <x:c r="F87" s="13" t="str">
        <x:v>Real Betis</x:v>
      </x:c>
      <x:c r="G87" s="16"/>
      <x:c r="H87" s="16"/>
      <x:c r="I87" s="16"/>
      <x:c r="J87" s="16"/>
      <x:c r="K87" s="16" t="str">
        <x:f>IF(COUNT(G87,I87)=0,"",AVERAGE(G87,I87))</x:f>
      </x:c>
      <x:c r="L87" s="16" t="str">
        <x:f>IF(COUNT(H87,J87)=0,"",AVERAGE(H87,J87))</x:f>
      </x:c>
      <x:c r="M87" s="16" t="str">
        <x:f>IF(OR(K87="",L87=""),"",L87-K87)</x:f>
      </x:c>
      <x:c r="N87" s="16" t="str">
        <x:f>IF(AND(A87=A86,ISNUMBER(K87),ISNUMBER(K86)),K87-K86,"")</x:f>
      </x:c>
      <x:c r="O87" s="13" t="str">
        <x:v>Sem informação</x:v>
      </x:c>
      <x:c r="P87" s="26"/>
      <x:c r="Q87" s="13"/>
      <x:c r="R87" s="13"/>
      <x:c r="S87" s="13"/>
      <x:c r="T87" s="13"/>
    </x:row>
    <x:row r="88">
      <x:c r="A88" s="13" t="str">
        <x:v>Antony</x:v>
      </x:c>
      <x:c r="B88" s="13" t="n">
        <x:v>2027</x:v>
      </x:c>
      <x:c r="C88" s="13" t="str">
        <x:v>T3</x:v>
      </x:c>
      <x:c r="D88" s="24" t="n">
        <x:v>46660</x:v>
      </x:c>
      <x:c r="E88" s="13" t="str">
        <x:v>Ponta-direita</x:v>
      </x:c>
      <x:c r="F88" s="13" t="str">
        <x:v>Real Betis</x:v>
      </x:c>
      <x:c r="G88" s="16"/>
      <x:c r="H88" s="16"/>
      <x:c r="I88" s="16"/>
      <x:c r="J88" s="16"/>
      <x:c r="K88" s="16" t="str">
        <x:f>IF(COUNT(G88,I88)=0,"",AVERAGE(G88,I88))</x:f>
      </x:c>
      <x:c r="L88" s="16" t="str">
        <x:f>IF(COUNT(H88,J88)=0,"",AVERAGE(H88,J88))</x:f>
      </x:c>
      <x:c r="M88" s="16" t="str">
        <x:f>IF(OR(K88="",L88=""),"",L88-K88)</x:f>
      </x:c>
      <x:c r="N88" s="16" t="str">
        <x:f>IF(AND(A88=A87,ISNUMBER(K88),ISNUMBER(K87)),K88-K87,"")</x:f>
      </x:c>
      <x:c r="O88" s="13" t="str">
        <x:v>Sem informação</x:v>
      </x:c>
      <x:c r="P88" s="26"/>
      <x:c r="Q88" s="13"/>
      <x:c r="R88" s="13"/>
      <x:c r="S88" s="13"/>
      <x:c r="T88" s="13"/>
    </x:row>
    <x:row r="89">
      <x:c r="A89" s="13" t="str">
        <x:v>Antony</x:v>
      </x:c>
      <x:c r="B89" s="13" t="n">
        <x:v>2027</x:v>
      </x:c>
      <x:c r="C89" s="13" t="str">
        <x:v>T4</x:v>
      </x:c>
      <x:c r="D89" s="24" t="n">
        <x:v>46752</x:v>
      </x:c>
      <x:c r="E89" s="13" t="str">
        <x:v>Ponta-direita</x:v>
      </x:c>
      <x:c r="F89" s="13" t="str">
        <x:v>Real Betis</x:v>
      </x:c>
      <x:c r="G89" s="16"/>
      <x:c r="H89" s="16"/>
      <x:c r="I89" s="16"/>
      <x:c r="J89" s="16"/>
      <x:c r="K89" s="16" t="str">
        <x:f>IF(COUNT(G89,I89)=0,"",AVERAGE(G89,I89))</x:f>
      </x:c>
      <x:c r="L89" s="16" t="str">
        <x:f>IF(COUNT(H89,J89)=0,"",AVERAGE(H89,J89))</x:f>
      </x:c>
      <x:c r="M89" s="16" t="str">
        <x:f>IF(OR(K89="",L89=""),"",L89-K89)</x:f>
      </x:c>
      <x:c r="N89" s="16" t="str">
        <x:f>IF(AND(A89=A88,ISNUMBER(K89),ISNUMBER(K88)),K89-K88,"")</x:f>
      </x:c>
      <x:c r="O89" s="13" t="str">
        <x:v>Sem informação</x:v>
      </x:c>
      <x:c r="P89" s="26"/>
      <x:c r="Q89" s="13"/>
      <x:c r="R89" s="13"/>
      <x:c r="S89" s="13"/>
      <x:c r="T89" s="13"/>
    </x:row>
    <x:row r="90">
      <x:c r="A90" s="13" t="str">
        <x:v>Antony</x:v>
      </x:c>
      <x:c r="B90" s="13" t="n">
        <x:v>2028</x:v>
      </x:c>
      <x:c r="C90" s="13" t="str">
        <x:v>T1</x:v>
      </x:c>
      <x:c r="D90" s="24" t="n">
        <x:v>46843</x:v>
      </x:c>
      <x:c r="E90" s="13" t="str">
        <x:v>Ponta-direita</x:v>
      </x:c>
      <x:c r="F90" s="13" t="str">
        <x:v>Real Betis</x:v>
      </x:c>
      <x:c r="G90" s="16"/>
      <x:c r="H90" s="16"/>
      <x:c r="I90" s="16"/>
      <x:c r="J90" s="16"/>
      <x:c r="K90" s="16" t="str">
        <x:f>IF(COUNT(G90,I90)=0,"",AVERAGE(G90,I90))</x:f>
      </x:c>
      <x:c r="L90" s="16" t="str">
        <x:f>IF(COUNT(H90,J90)=0,"",AVERAGE(H90,J90))</x:f>
      </x:c>
      <x:c r="M90" s="16" t="str">
        <x:f>IF(OR(K90="",L90=""),"",L90-K90)</x:f>
      </x:c>
      <x:c r="N90" s="16" t="str">
        <x:f>IF(AND(A90=A89,ISNUMBER(K90),ISNUMBER(K89)),K90-K89,"")</x:f>
      </x:c>
      <x:c r="O90" s="13" t="str">
        <x:v>Sem informação</x:v>
      </x:c>
      <x:c r="P90" s="26"/>
      <x:c r="Q90" s="13"/>
      <x:c r="R90" s="13"/>
      <x:c r="S90" s="13"/>
      <x:c r="T90" s="13"/>
    </x:row>
    <x:row r="91">
      <x:c r="A91" s="13" t="str">
        <x:v>Antony</x:v>
      </x:c>
      <x:c r="B91" s="13" t="n">
        <x:v>2028</x:v>
      </x:c>
      <x:c r="C91" s="13" t="str">
        <x:v>T2</x:v>
      </x:c>
      <x:c r="D91" s="24" t="n">
        <x:v>46934</x:v>
      </x:c>
      <x:c r="E91" s="13" t="str">
        <x:v>Ponta-direita</x:v>
      </x:c>
      <x:c r="F91" s="13" t="str">
        <x:v>Real Betis</x:v>
      </x:c>
      <x:c r="G91" s="16"/>
      <x:c r="H91" s="16"/>
      <x:c r="I91" s="16"/>
      <x:c r="J91" s="16"/>
      <x:c r="K91" s="16" t="str">
        <x:f>IF(COUNT(G91,I91)=0,"",AVERAGE(G91,I91))</x:f>
      </x:c>
      <x:c r="L91" s="16" t="str">
        <x:f>IF(COUNT(H91,J91)=0,"",AVERAGE(H91,J91))</x:f>
      </x:c>
      <x:c r="M91" s="16" t="str">
        <x:f>IF(OR(K91="",L91=""),"",L91-K91)</x:f>
      </x:c>
      <x:c r="N91" s="16" t="str">
        <x:f>IF(AND(A91=A90,ISNUMBER(K91),ISNUMBER(K90)),K91-K90,"")</x:f>
      </x:c>
      <x:c r="O91" s="13" t="str">
        <x:v>Sem informação</x:v>
      </x:c>
      <x:c r="P91" s="26"/>
      <x:c r="Q91" s="13"/>
      <x:c r="R91" s="13"/>
      <x:c r="S91" s="13"/>
      <x:c r="T91" s="13"/>
    </x:row>
    <x:row r="92">
      <x:c r="A92" s="13" t="str">
        <x:v>Antony</x:v>
      </x:c>
      <x:c r="B92" s="13" t="n">
        <x:v>2028</x:v>
      </x:c>
      <x:c r="C92" s="13" t="str">
        <x:v>T3</x:v>
      </x:c>
      <x:c r="D92" s="24" t="n">
        <x:v>47026</x:v>
      </x:c>
      <x:c r="E92" s="13" t="str">
        <x:v>Ponta-direita</x:v>
      </x:c>
      <x:c r="F92" s="13" t="str">
        <x:v>Real Betis</x:v>
      </x:c>
      <x:c r="G92" s="16"/>
      <x:c r="H92" s="16"/>
      <x:c r="I92" s="16"/>
      <x:c r="J92" s="16"/>
      <x:c r="K92" s="16" t="str">
        <x:f>IF(COUNT(G92,I92)=0,"",AVERAGE(G92,I92))</x:f>
      </x:c>
      <x:c r="L92" s="16" t="str">
        <x:f>IF(COUNT(H92,J92)=0,"",AVERAGE(H92,J92))</x:f>
      </x:c>
      <x:c r="M92" s="16" t="str">
        <x:f>IF(OR(K92="",L92=""),"",L92-K92)</x:f>
      </x:c>
      <x:c r="N92" s="16" t="str">
        <x:f>IF(AND(A92=A91,ISNUMBER(K92),ISNUMBER(K91)),K92-K91,"")</x:f>
      </x:c>
      <x:c r="O92" s="13" t="str">
        <x:v>Sem informação</x:v>
      </x:c>
      <x:c r="P92" s="26"/>
      <x:c r="Q92" s="13"/>
      <x:c r="R92" s="13"/>
      <x:c r="S92" s="13"/>
      <x:c r="T92" s="13"/>
    </x:row>
    <x:row r="93">
      <x:c r="A93" s="13" t="str">
        <x:v>Antony</x:v>
      </x:c>
      <x:c r="B93" s="13" t="n">
        <x:v>2028</x:v>
      </x:c>
      <x:c r="C93" s="13" t="str">
        <x:v>T4</x:v>
      </x:c>
      <x:c r="D93" s="24" t="n">
        <x:v>47118</x:v>
      </x:c>
      <x:c r="E93" s="13" t="str">
        <x:v>Ponta-direita</x:v>
      </x:c>
      <x:c r="F93" s="13" t="str">
        <x:v>Real Betis</x:v>
      </x:c>
      <x:c r="G93" s="16"/>
      <x:c r="H93" s="16"/>
      <x:c r="I93" s="16"/>
      <x:c r="J93" s="16"/>
      <x:c r="K93" s="16" t="str">
        <x:f>IF(COUNT(G93,I93)=0,"",AVERAGE(G93,I93))</x:f>
      </x:c>
      <x:c r="L93" s="16" t="str">
        <x:f>IF(COUNT(H93,J93)=0,"",AVERAGE(H93,J93))</x:f>
      </x:c>
      <x:c r="M93" s="16" t="str">
        <x:f>IF(OR(K93="",L93=""),"",L93-K93)</x:f>
      </x:c>
      <x:c r="N93" s="16" t="str">
        <x:f>IF(AND(A93=A92,ISNUMBER(K93),ISNUMBER(K92)),K93-K92,"")</x:f>
      </x:c>
      <x:c r="O93" s="13" t="str">
        <x:v>Sem informação</x:v>
      </x:c>
      <x:c r="P93" s="26"/>
      <x:c r="Q93" s="13"/>
      <x:c r="R93" s="13"/>
      <x:c r="S93" s="13"/>
      <x:c r="T93" s="13"/>
    </x:row>
    <x:row r="94">
      <x:c r="A94" s="13" t="str">
        <x:v>Antony</x:v>
      </x:c>
      <x:c r="B94" s="13" t="n">
        <x:v>2029</x:v>
      </x:c>
      <x:c r="C94" s="13" t="str">
        <x:v>T1</x:v>
      </x:c>
      <x:c r="D94" s="24" t="n">
        <x:v>47208</x:v>
      </x:c>
      <x:c r="E94" s="13" t="str">
        <x:v>Ponta-direita</x:v>
      </x:c>
      <x:c r="F94" s="13" t="str">
        <x:v>Real Betis</x:v>
      </x:c>
      <x:c r="G94" s="16"/>
      <x:c r="H94" s="16"/>
      <x:c r="I94" s="16"/>
      <x:c r="J94" s="16"/>
      <x:c r="K94" s="16" t="str">
        <x:f>IF(COUNT(G94,I94)=0,"",AVERAGE(G94,I94))</x:f>
      </x:c>
      <x:c r="L94" s="16" t="str">
        <x:f>IF(COUNT(H94,J94)=0,"",AVERAGE(H94,J94))</x:f>
      </x:c>
      <x:c r="M94" s="16" t="str">
        <x:f>IF(OR(K94="",L94=""),"",L94-K94)</x:f>
      </x:c>
      <x:c r="N94" s="16" t="str">
        <x:f>IF(AND(A94=A93,ISNUMBER(K94),ISNUMBER(K93)),K94-K93,"")</x:f>
      </x:c>
      <x:c r="O94" s="13" t="str">
        <x:v>Sem informação</x:v>
      </x:c>
      <x:c r="P94" s="26"/>
      <x:c r="Q94" s="13"/>
      <x:c r="R94" s="13"/>
      <x:c r="S94" s="13"/>
      <x:c r="T94" s="13"/>
    </x:row>
    <x:row r="95">
      <x:c r="A95" s="13" t="str">
        <x:v>Antony</x:v>
      </x:c>
      <x:c r="B95" s="13" t="n">
        <x:v>2029</x:v>
      </x:c>
      <x:c r="C95" s="13" t="str">
        <x:v>T2</x:v>
      </x:c>
      <x:c r="D95" s="24" t="n">
        <x:v>47299</x:v>
      </x:c>
      <x:c r="E95" s="13" t="str">
        <x:v>Ponta-direita</x:v>
      </x:c>
      <x:c r="F95" s="13" t="str">
        <x:v>Real Betis</x:v>
      </x:c>
      <x:c r="G95" s="16"/>
      <x:c r="H95" s="16"/>
      <x:c r="I95" s="16"/>
      <x:c r="J95" s="16"/>
      <x:c r="K95" s="16" t="str">
        <x:f>IF(COUNT(G95,I95)=0,"",AVERAGE(G95,I95))</x:f>
      </x:c>
      <x:c r="L95" s="16" t="str">
        <x:f>IF(COUNT(H95,J95)=0,"",AVERAGE(H95,J95))</x:f>
      </x:c>
      <x:c r="M95" s="16" t="str">
        <x:f>IF(OR(K95="",L95=""),"",L95-K95)</x:f>
      </x:c>
      <x:c r="N95" s="16" t="str">
        <x:f>IF(AND(A95=A94,ISNUMBER(K95),ISNUMBER(K94)),K95-K94,"")</x:f>
      </x:c>
      <x:c r="O95" s="13" t="str">
        <x:v>Sem informação</x:v>
      </x:c>
      <x:c r="P95" s="26"/>
      <x:c r="Q95" s="13"/>
      <x:c r="R95" s="13"/>
      <x:c r="S95" s="13"/>
      <x:c r="T95" s="13"/>
    </x:row>
    <x:row r="96">
      <x:c r="A96" s="13" t="str">
        <x:v>Antony</x:v>
      </x:c>
      <x:c r="B96" s="13" t="n">
        <x:v>2029</x:v>
      </x:c>
      <x:c r="C96" s="13" t="str">
        <x:v>T3</x:v>
      </x:c>
      <x:c r="D96" s="24" t="n">
        <x:v>47391</x:v>
      </x:c>
      <x:c r="E96" s="13" t="str">
        <x:v>Ponta-direita</x:v>
      </x:c>
      <x:c r="F96" s="13" t="str">
        <x:v>Real Betis</x:v>
      </x:c>
      <x:c r="G96" s="16"/>
      <x:c r="H96" s="16"/>
      <x:c r="I96" s="16"/>
      <x:c r="J96" s="16"/>
      <x:c r="K96" s="16" t="str">
        <x:f>IF(COUNT(G96,I96)=0,"",AVERAGE(G96,I96))</x:f>
      </x:c>
      <x:c r="L96" s="16" t="str">
        <x:f>IF(COUNT(H96,J96)=0,"",AVERAGE(H96,J96))</x:f>
      </x:c>
      <x:c r="M96" s="16" t="str">
        <x:f>IF(OR(K96="",L96=""),"",L96-K96)</x:f>
      </x:c>
      <x:c r="N96" s="16" t="str">
        <x:f>IF(AND(A96=A95,ISNUMBER(K96),ISNUMBER(K95)),K96-K95,"")</x:f>
      </x:c>
      <x:c r="O96" s="13" t="str">
        <x:v>Sem informação</x:v>
      </x:c>
      <x:c r="P96" s="26"/>
      <x:c r="Q96" s="13"/>
      <x:c r="R96" s="13"/>
      <x:c r="S96" s="13"/>
      <x:c r="T96" s="13"/>
    </x:row>
    <x:row r="97">
      <x:c r="A97" s="13" t="str">
        <x:v>Antony</x:v>
      </x:c>
      <x:c r="B97" s="13" t="n">
        <x:v>2029</x:v>
      </x:c>
      <x:c r="C97" s="13" t="str">
        <x:v>T4</x:v>
      </x:c>
      <x:c r="D97" s="24" t="n">
        <x:v>47483</x:v>
      </x:c>
      <x:c r="E97" s="13" t="str">
        <x:v>Ponta-direita</x:v>
      </x:c>
      <x:c r="F97" s="13" t="str">
        <x:v>Real Betis</x:v>
      </x:c>
      <x:c r="G97" s="16"/>
      <x:c r="H97" s="16"/>
      <x:c r="I97" s="16"/>
      <x:c r="J97" s="16"/>
      <x:c r="K97" s="16" t="str">
        <x:f>IF(COUNT(G97,I97)=0,"",AVERAGE(G97,I97))</x:f>
      </x:c>
      <x:c r="L97" s="16" t="str">
        <x:f>IF(COUNT(H97,J97)=0,"",AVERAGE(H97,J97))</x:f>
      </x:c>
      <x:c r="M97" s="16" t="str">
        <x:f>IF(OR(K97="",L97=""),"",L97-K97)</x:f>
      </x:c>
      <x:c r="N97" s="16" t="str">
        <x:f>IF(AND(A97=A96,ISNUMBER(K97),ISNUMBER(K96)),K97-K96,"")</x:f>
      </x:c>
      <x:c r="O97" s="13" t="str">
        <x:v>Sem informação</x:v>
      </x:c>
      <x:c r="P97" s="26"/>
      <x:c r="Q97" s="13"/>
      <x:c r="R97" s="13"/>
      <x:c r="S97" s="13"/>
      <x:c r="T97" s="13"/>
    </x:row>
    <x:row r="98">
      <x:c r="A98" s="13" t="str">
        <x:v>Antony</x:v>
      </x:c>
      <x:c r="B98" s="13" t="n">
        <x:v>2030</x:v>
      </x:c>
      <x:c r="C98" s="13" t="str">
        <x:v>T1</x:v>
      </x:c>
      <x:c r="D98" s="24" t="n">
        <x:v>47573</x:v>
      </x:c>
      <x:c r="E98" s="13" t="str">
        <x:v>Ponta-direita</x:v>
      </x:c>
      <x:c r="F98" s="13" t="str">
        <x:v>Real Betis</x:v>
      </x:c>
      <x:c r="G98" s="16"/>
      <x:c r="H98" s="16"/>
      <x:c r="I98" s="16"/>
      <x:c r="J98" s="16"/>
      <x:c r="K98" s="16" t="str">
        <x:f>IF(COUNT(G98,I98)=0,"",AVERAGE(G98,I98))</x:f>
      </x:c>
      <x:c r="L98" s="16" t="str">
        <x:f>IF(COUNT(H98,J98)=0,"",AVERAGE(H98,J98))</x:f>
      </x:c>
      <x:c r="M98" s="16" t="str">
        <x:f>IF(OR(K98="",L98=""),"",L98-K98)</x:f>
      </x:c>
      <x:c r="N98" s="16" t="str">
        <x:f>IF(AND(A98=A97,ISNUMBER(K98),ISNUMBER(K97)),K98-K97,"")</x:f>
      </x:c>
      <x:c r="O98" s="13" t="str">
        <x:v>Sem informação</x:v>
      </x:c>
      <x:c r="P98" s="26"/>
      <x:c r="Q98" s="13"/>
      <x:c r="R98" s="13"/>
      <x:c r="S98" s="13"/>
      <x:c r="T98" s="13"/>
    </x:row>
    <x:row r="99">
      <x:c r="A99" s="13" t="str">
        <x:v>Antony</x:v>
      </x:c>
      <x:c r="B99" s="13" t="n">
        <x:v>2030</x:v>
      </x:c>
      <x:c r="C99" s="13" t="str">
        <x:v>T2</x:v>
      </x:c>
      <x:c r="D99" s="24" t="n">
        <x:v>47664</x:v>
      </x:c>
      <x:c r="E99" s="13" t="str">
        <x:v>Ponta-direita</x:v>
      </x:c>
      <x:c r="F99" s="13" t="str">
        <x:v>Real Betis</x:v>
      </x:c>
      <x:c r="G99" s="16"/>
      <x:c r="H99" s="16"/>
      <x:c r="I99" s="16"/>
      <x:c r="J99" s="16"/>
      <x:c r="K99" s="16" t="str">
        <x:f>IF(COUNT(G99,I99)=0,"",AVERAGE(G99,I99))</x:f>
      </x:c>
      <x:c r="L99" s="16" t="str">
        <x:f>IF(COUNT(H99,J99)=0,"",AVERAGE(H99,J99))</x:f>
      </x:c>
      <x:c r="M99" s="16" t="str">
        <x:f>IF(OR(K99="",L99=""),"",L99-K99)</x:f>
      </x:c>
      <x:c r="N99" s="16" t="str">
        <x:f>IF(AND(A99=A98,ISNUMBER(K99),ISNUMBER(K98)),K99-K98,"")</x:f>
      </x:c>
      <x:c r="O99" s="13" t="str">
        <x:v>Sem informação</x:v>
      </x:c>
      <x:c r="P99" s="26"/>
      <x:c r="Q99" s="13"/>
      <x:c r="R99" s="13"/>
      <x:c r="S99" s="13"/>
      <x:c r="T99" s="13"/>
    </x:row>
    <x:row r="100">
      <x:c r="A100" s="13" t="str">
        <x:v>Antony</x:v>
      </x:c>
      <x:c r="B100" s="13" t="n">
        <x:v>2030</x:v>
      </x:c>
      <x:c r="C100" s="13" t="str">
        <x:v>T3</x:v>
      </x:c>
      <x:c r="D100" s="24" t="n">
        <x:v>47756</x:v>
      </x:c>
      <x:c r="E100" s="13" t="str">
        <x:v>Ponta-direita</x:v>
      </x:c>
      <x:c r="F100" s="13" t="str">
        <x:v>Real Betis</x:v>
      </x:c>
      <x:c r="G100" s="16"/>
      <x:c r="H100" s="16"/>
      <x:c r="I100" s="16"/>
      <x:c r="J100" s="16"/>
      <x:c r="K100" s="16" t="str">
        <x:f>IF(COUNT(G100,I100)=0,"",AVERAGE(G100,I100))</x:f>
      </x:c>
      <x:c r="L100" s="16" t="str">
        <x:f>IF(COUNT(H100,J100)=0,"",AVERAGE(H100,J100))</x:f>
      </x:c>
      <x:c r="M100" s="16" t="str">
        <x:f>IF(OR(K100="",L100=""),"",L100-K100)</x:f>
      </x:c>
      <x:c r="N100" s="16" t="str">
        <x:f>IF(AND(A100=A99,ISNUMBER(K100),ISNUMBER(K99)),K100-K99,"")</x:f>
      </x:c>
      <x:c r="O100" s="13" t="str">
        <x:v>Sem informação</x:v>
      </x:c>
      <x:c r="P100" s="26"/>
      <x:c r="Q100" s="13"/>
      <x:c r="R100" s="13"/>
      <x:c r="S100" s="13"/>
      <x:c r="T100" s="13"/>
    </x:row>
    <x:row r="101">
      <x:c r="A101" s="13" t="str">
        <x:v>Antony</x:v>
      </x:c>
      <x:c r="B101" s="13" t="n">
        <x:v>2030</x:v>
      </x:c>
      <x:c r="C101" s="13" t="str">
        <x:v>T4</x:v>
      </x:c>
      <x:c r="D101" s="24" t="n">
        <x:v>47848</x:v>
      </x:c>
      <x:c r="E101" s="13" t="str">
        <x:v>Ponta-direita</x:v>
      </x:c>
      <x:c r="F101" s="13" t="str">
        <x:v>Real Betis</x:v>
      </x:c>
      <x:c r="G101" s="16"/>
      <x:c r="H101" s="16"/>
      <x:c r="I101" s="16"/>
      <x:c r="J101" s="16"/>
      <x:c r="K101" s="16" t="str">
        <x:f>IF(COUNT(G101,I101)=0,"",AVERAGE(G101,I101))</x:f>
      </x:c>
      <x:c r="L101" s="16" t="str">
        <x:f>IF(COUNT(H101,J101)=0,"",AVERAGE(H101,J101))</x:f>
      </x:c>
      <x:c r="M101" s="16" t="str">
        <x:f>IF(OR(K101="",L101=""),"",L101-K101)</x:f>
      </x:c>
      <x:c r="N101" s="16" t="str">
        <x:f>IF(AND(A101=A100,ISNUMBER(K101),ISNUMBER(K100)),K101-K100,"")</x:f>
      </x:c>
      <x:c r="O101" s="13" t="str">
        <x:v>Sem informação</x:v>
      </x:c>
      <x:c r="P101" s="26"/>
      <x:c r="Q101" s="13"/>
      <x:c r="R101" s="13"/>
      <x:c r="S101" s="13"/>
      <x:c r="T101" s="13"/>
    </x:row>
    <x:row r="102">
      <x:c r="A102" s="13" t="str">
        <x:v>Brazão</x:v>
      </x:c>
      <x:c r="B102" s="13" t="n">
        <x:v>2026</x:v>
      </x:c>
      <x:c r="C102" s="13" t="str">
        <x:v>T1</x:v>
      </x:c>
      <x:c r="D102" s="24" t="n">
        <x:v>46112</x:v>
      </x:c>
      <x:c r="E102" s="13" t="str">
        <x:v>Goleiro</x:v>
      </x:c>
      <x:c r="F102" s="13" t="str">
        <x:v>Santos FC</x:v>
      </x:c>
      <x:c r="G102" s="16"/>
      <x:c r="H102" s="16"/>
      <x:c r="I102" s="16"/>
      <x:c r="J102" s="16"/>
      <x:c r="K102" s="16" t="str">
        <x:f>IF(COUNT(G102,I102)=0,"",AVERAGE(G102,I102))</x:f>
      </x:c>
      <x:c r="L102" s="16" t="str">
        <x:f>IF(COUNT(H102,J102)=0,"",AVERAGE(H102,J102))</x:f>
      </x:c>
      <x:c r="M102" s="16" t="str">
        <x:f>IF(OR(K102="",L102=""),"",L102-K102)</x:f>
      </x:c>
      <x:c r="N102" s="16" t="str">
        <x:f>IF(AND(A102=A101,ISNUMBER(K102),ISNUMBER(K101)),K102-K101,"")</x:f>
      </x:c>
      <x:c r="O102" s="13" t="str">
        <x:v>Sem informação</x:v>
      </x:c>
      <x:c r="P102" s="26"/>
      <x:c r="Q102" s="13"/>
      <x:c r="R102" s="13"/>
      <x:c r="S102" s="13"/>
      <x:c r="T102" s="13"/>
    </x:row>
    <x:row r="103">
      <x:c r="A103" s="13" t="str">
        <x:v>Brazão</x:v>
      </x:c>
      <x:c r="B103" s="13" t="n">
        <x:v>2026</x:v>
      </x:c>
      <x:c r="C103" s="13" t="str">
        <x:v>T2</x:v>
      </x:c>
      <x:c r="D103" s="24" t="n">
        <x:v>46203</x:v>
      </x:c>
      <x:c r="E103" s="13" t="str">
        <x:v>Goleiro</x:v>
      </x:c>
      <x:c r="F103" s="13" t="str">
        <x:v>Santos FC</x:v>
      </x:c>
      <x:c r="G103" s="16"/>
      <x:c r="H103" s="16"/>
      <x:c r="I103" s="16"/>
      <x:c r="J103" s="16"/>
      <x:c r="K103" s="16" t="str">
        <x:f>IF(COUNT(G103,I103)=0,"",AVERAGE(G103,I103))</x:f>
      </x:c>
      <x:c r="L103" s="16" t="str">
        <x:f>IF(COUNT(H103,J103)=0,"",AVERAGE(H103,J103))</x:f>
      </x:c>
      <x:c r="M103" s="16" t="str">
        <x:f>IF(OR(K103="",L103=""),"",L103-K103)</x:f>
      </x:c>
      <x:c r="N103" s="16" t="str">
        <x:f>IF(AND(A103=A102,ISNUMBER(K103),ISNUMBER(K102)),K103-K102,"")</x:f>
      </x:c>
      <x:c r="O103" s="13" t="str">
        <x:v>Sem informação</x:v>
      </x:c>
      <x:c r="P103" s="26"/>
      <x:c r="Q103" s="13"/>
      <x:c r="R103" s="13"/>
      <x:c r="S103" s="13"/>
      <x:c r="T103" s="13"/>
    </x:row>
    <x:row r="104">
      <x:c r="A104" s="13" t="str">
        <x:v>Brazão</x:v>
      </x:c>
      <x:c r="B104" s="13" t="n">
        <x:v>2026</x:v>
      </x:c>
      <x:c r="C104" s="13" t="str">
        <x:v>T3</x:v>
      </x:c>
      <x:c r="D104" s="24" t="n">
        <x:v>46295</x:v>
      </x:c>
      <x:c r="E104" s="13" t="str">
        <x:v>Goleiro</x:v>
      </x:c>
      <x:c r="F104" s="13" t="str">
        <x:v>Santos FC</x:v>
      </x:c>
      <x:c r="G104" s="16"/>
      <x:c r="H104" s="16"/>
      <x:c r="I104" s="16"/>
      <x:c r="J104" s="16"/>
      <x:c r="K104" s="16" t="str">
        <x:f>IF(COUNT(G104,I104)=0,"",AVERAGE(G104,I104))</x:f>
      </x:c>
      <x:c r="L104" s="16" t="str">
        <x:f>IF(COUNT(H104,J104)=0,"",AVERAGE(H104,J104))</x:f>
      </x:c>
      <x:c r="M104" s="16" t="str">
        <x:f>IF(OR(K104="",L104=""),"",L104-K104)</x:f>
      </x:c>
      <x:c r="N104" s="16" t="str">
        <x:f>IF(AND(A104=A103,ISNUMBER(K104),ISNUMBER(K103)),K104-K103,"")</x:f>
      </x:c>
      <x:c r="O104" s="13" t="str">
        <x:v>Sem informação</x:v>
      </x:c>
      <x:c r="P104" s="26"/>
      <x:c r="Q104" s="13"/>
      <x:c r="R104" s="13"/>
      <x:c r="S104" s="13"/>
      <x:c r="T104" s="13"/>
    </x:row>
    <x:row r="105">
      <x:c r="A105" s="13" t="str">
        <x:v>Brazão</x:v>
      </x:c>
      <x:c r="B105" s="13" t="n">
        <x:v>2026</x:v>
      </x:c>
      <x:c r="C105" s="13" t="str">
        <x:v>T4</x:v>
      </x:c>
      <x:c r="D105" s="24" t="n">
        <x:v>46387</x:v>
      </x:c>
      <x:c r="E105" s="13" t="str">
        <x:v>Goleiro</x:v>
      </x:c>
      <x:c r="F105" s="13" t="str">
        <x:v>Santos FC</x:v>
      </x:c>
      <x:c r="G105" s="16"/>
      <x:c r="H105" s="16"/>
      <x:c r="I105" s="16"/>
      <x:c r="J105" s="16"/>
      <x:c r="K105" s="16" t="str">
        <x:f>IF(COUNT(G105,I105)=0,"",AVERAGE(G105,I105))</x:f>
      </x:c>
      <x:c r="L105" s="16" t="str">
        <x:f>IF(COUNT(H105,J105)=0,"",AVERAGE(H105,J105))</x:f>
      </x:c>
      <x:c r="M105" s="16" t="str">
        <x:f>IF(OR(K105="",L105=""),"",L105-K105)</x:f>
      </x:c>
      <x:c r="N105" s="16" t="str">
        <x:f>IF(AND(A105=A104,ISNUMBER(K105),ISNUMBER(K104)),K105-K104,"")</x:f>
      </x:c>
      <x:c r="O105" s="13" t="str">
        <x:v>Sem informação</x:v>
      </x:c>
      <x:c r="P105" s="26"/>
      <x:c r="Q105" s="13"/>
      <x:c r="R105" s="13"/>
      <x:c r="S105" s="13"/>
      <x:c r="T105" s="13"/>
    </x:row>
    <x:row r="106">
      <x:c r="A106" s="13" t="str">
        <x:v>Brazão</x:v>
      </x:c>
      <x:c r="B106" s="13" t="n">
        <x:v>2027</x:v>
      </x:c>
      <x:c r="C106" s="13" t="str">
        <x:v>T1</x:v>
      </x:c>
      <x:c r="D106" s="24" t="n">
        <x:v>46477</x:v>
      </x:c>
      <x:c r="E106" s="13" t="str">
        <x:v>Goleiro</x:v>
      </x:c>
      <x:c r="F106" s="13" t="str">
        <x:v>Santos FC</x:v>
      </x:c>
      <x:c r="G106" s="16"/>
      <x:c r="H106" s="16"/>
      <x:c r="I106" s="16"/>
      <x:c r="J106" s="16"/>
      <x:c r="K106" s="16" t="str">
        <x:f>IF(COUNT(G106,I106)=0,"",AVERAGE(G106,I106))</x:f>
      </x:c>
      <x:c r="L106" s="16" t="str">
        <x:f>IF(COUNT(H106,J106)=0,"",AVERAGE(H106,J106))</x:f>
      </x:c>
      <x:c r="M106" s="16" t="str">
        <x:f>IF(OR(K106="",L106=""),"",L106-K106)</x:f>
      </x:c>
      <x:c r="N106" s="16" t="str">
        <x:f>IF(AND(A106=A105,ISNUMBER(K106),ISNUMBER(K105)),K106-K105,"")</x:f>
      </x:c>
      <x:c r="O106" s="13" t="str">
        <x:v>Sem informação</x:v>
      </x:c>
      <x:c r="P106" s="26"/>
      <x:c r="Q106" s="13"/>
      <x:c r="R106" s="13"/>
      <x:c r="S106" s="13"/>
      <x:c r="T106" s="13"/>
    </x:row>
    <x:row r="107">
      <x:c r="A107" s="13" t="str">
        <x:v>Brazão</x:v>
      </x:c>
      <x:c r="B107" s="13" t="n">
        <x:v>2027</x:v>
      </x:c>
      <x:c r="C107" s="13" t="str">
        <x:v>T2</x:v>
      </x:c>
      <x:c r="D107" s="24" t="n">
        <x:v>46568</x:v>
      </x:c>
      <x:c r="E107" s="13" t="str">
        <x:v>Goleiro</x:v>
      </x:c>
      <x:c r="F107" s="13" t="str">
        <x:v>Santos FC</x:v>
      </x:c>
      <x:c r="G107" s="16"/>
      <x:c r="H107" s="16"/>
      <x:c r="I107" s="16"/>
      <x:c r="J107" s="16"/>
      <x:c r="K107" s="16" t="str">
        <x:f>IF(COUNT(G107,I107)=0,"",AVERAGE(G107,I107))</x:f>
      </x:c>
      <x:c r="L107" s="16" t="str">
        <x:f>IF(COUNT(H107,J107)=0,"",AVERAGE(H107,J107))</x:f>
      </x:c>
      <x:c r="M107" s="16" t="str">
        <x:f>IF(OR(K107="",L107=""),"",L107-K107)</x:f>
      </x:c>
      <x:c r="N107" s="16" t="str">
        <x:f>IF(AND(A107=A106,ISNUMBER(K107),ISNUMBER(K106)),K107-K106,"")</x:f>
      </x:c>
      <x:c r="O107" s="13" t="str">
        <x:v>Sem informação</x:v>
      </x:c>
      <x:c r="P107" s="26"/>
      <x:c r="Q107" s="13"/>
      <x:c r="R107" s="13"/>
      <x:c r="S107" s="13"/>
      <x:c r="T107" s="13"/>
    </x:row>
    <x:row r="108">
      <x:c r="A108" s="13" t="str">
        <x:v>Brazão</x:v>
      </x:c>
      <x:c r="B108" s="13" t="n">
        <x:v>2027</x:v>
      </x:c>
      <x:c r="C108" s="13" t="str">
        <x:v>T3</x:v>
      </x:c>
      <x:c r="D108" s="24" t="n">
        <x:v>46660</x:v>
      </x:c>
      <x:c r="E108" s="13" t="str">
        <x:v>Goleiro</x:v>
      </x:c>
      <x:c r="F108" s="13" t="str">
        <x:v>Santos FC</x:v>
      </x:c>
      <x:c r="G108" s="16"/>
      <x:c r="H108" s="16"/>
      <x:c r="I108" s="16"/>
      <x:c r="J108" s="16"/>
      <x:c r="K108" s="16" t="str">
        <x:f>IF(COUNT(G108,I108)=0,"",AVERAGE(G108,I108))</x:f>
      </x:c>
      <x:c r="L108" s="16" t="str">
        <x:f>IF(COUNT(H108,J108)=0,"",AVERAGE(H108,J108))</x:f>
      </x:c>
      <x:c r="M108" s="16" t="str">
        <x:f>IF(OR(K108="",L108=""),"",L108-K108)</x:f>
      </x:c>
      <x:c r="N108" s="16" t="str">
        <x:f>IF(AND(A108=A107,ISNUMBER(K108),ISNUMBER(K107)),K108-K107,"")</x:f>
      </x:c>
      <x:c r="O108" s="13" t="str">
        <x:v>Sem informação</x:v>
      </x:c>
      <x:c r="P108" s="26"/>
      <x:c r="Q108" s="13"/>
      <x:c r="R108" s="13"/>
      <x:c r="S108" s="13"/>
      <x:c r="T108" s="13"/>
    </x:row>
    <x:row r="109">
      <x:c r="A109" s="13" t="str">
        <x:v>Brazão</x:v>
      </x:c>
      <x:c r="B109" s="13" t="n">
        <x:v>2027</x:v>
      </x:c>
      <x:c r="C109" s="13" t="str">
        <x:v>T4</x:v>
      </x:c>
      <x:c r="D109" s="24" t="n">
        <x:v>46752</x:v>
      </x:c>
      <x:c r="E109" s="13" t="str">
        <x:v>Goleiro</x:v>
      </x:c>
      <x:c r="F109" s="13" t="str">
        <x:v>Santos FC</x:v>
      </x:c>
      <x:c r="G109" s="16"/>
      <x:c r="H109" s="16"/>
      <x:c r="I109" s="16"/>
      <x:c r="J109" s="16"/>
      <x:c r="K109" s="16" t="str">
        <x:f>IF(COUNT(G109,I109)=0,"",AVERAGE(G109,I109))</x:f>
      </x:c>
      <x:c r="L109" s="16" t="str">
        <x:f>IF(COUNT(H109,J109)=0,"",AVERAGE(H109,J109))</x:f>
      </x:c>
      <x:c r="M109" s="16" t="str">
        <x:f>IF(OR(K109="",L109=""),"",L109-K109)</x:f>
      </x:c>
      <x:c r="N109" s="16" t="str">
        <x:f>IF(AND(A109=A108,ISNUMBER(K109),ISNUMBER(K108)),K109-K108,"")</x:f>
      </x:c>
      <x:c r="O109" s="13" t="str">
        <x:v>Sem informação</x:v>
      </x:c>
      <x:c r="P109" s="26"/>
      <x:c r="Q109" s="13"/>
      <x:c r="R109" s="13"/>
      <x:c r="S109" s="13"/>
      <x:c r="T109" s="13"/>
    </x:row>
    <x:row r="110">
      <x:c r="A110" s="13" t="str">
        <x:v>Brazão</x:v>
      </x:c>
      <x:c r="B110" s="13" t="n">
        <x:v>2028</x:v>
      </x:c>
      <x:c r="C110" s="13" t="str">
        <x:v>T1</x:v>
      </x:c>
      <x:c r="D110" s="24" t="n">
        <x:v>46843</x:v>
      </x:c>
      <x:c r="E110" s="13" t="str">
        <x:v>Goleiro</x:v>
      </x:c>
      <x:c r="F110" s="13" t="str">
        <x:v>Santos FC</x:v>
      </x:c>
      <x:c r="G110" s="16"/>
      <x:c r="H110" s="16"/>
      <x:c r="I110" s="16"/>
      <x:c r="J110" s="16"/>
      <x:c r="K110" s="16" t="str">
        <x:f>IF(COUNT(G110,I110)=0,"",AVERAGE(G110,I110))</x:f>
      </x:c>
      <x:c r="L110" s="16" t="str">
        <x:f>IF(COUNT(H110,J110)=0,"",AVERAGE(H110,J110))</x:f>
      </x:c>
      <x:c r="M110" s="16" t="str">
        <x:f>IF(OR(K110="",L110=""),"",L110-K110)</x:f>
      </x:c>
      <x:c r="N110" s="16" t="str">
        <x:f>IF(AND(A110=A109,ISNUMBER(K110),ISNUMBER(K109)),K110-K109,"")</x:f>
      </x:c>
      <x:c r="O110" s="13" t="str">
        <x:v>Sem informação</x:v>
      </x:c>
      <x:c r="P110" s="26"/>
      <x:c r="Q110" s="13"/>
      <x:c r="R110" s="13"/>
      <x:c r="S110" s="13"/>
      <x:c r="T110" s="13"/>
    </x:row>
    <x:row r="111">
      <x:c r="A111" s="13" t="str">
        <x:v>Brazão</x:v>
      </x:c>
      <x:c r="B111" s="13" t="n">
        <x:v>2028</x:v>
      </x:c>
      <x:c r="C111" s="13" t="str">
        <x:v>T2</x:v>
      </x:c>
      <x:c r="D111" s="24" t="n">
        <x:v>46934</x:v>
      </x:c>
      <x:c r="E111" s="13" t="str">
        <x:v>Goleiro</x:v>
      </x:c>
      <x:c r="F111" s="13" t="str">
        <x:v>Santos FC</x:v>
      </x:c>
      <x:c r="G111" s="16"/>
      <x:c r="H111" s="16"/>
      <x:c r="I111" s="16"/>
      <x:c r="J111" s="16"/>
      <x:c r="K111" s="16" t="str">
        <x:f>IF(COUNT(G111,I111)=0,"",AVERAGE(G111,I111))</x:f>
      </x:c>
      <x:c r="L111" s="16" t="str">
        <x:f>IF(COUNT(H111,J111)=0,"",AVERAGE(H111,J111))</x:f>
      </x:c>
      <x:c r="M111" s="16" t="str">
        <x:f>IF(OR(K111="",L111=""),"",L111-K111)</x:f>
      </x:c>
      <x:c r="N111" s="16" t="str">
        <x:f>IF(AND(A111=A110,ISNUMBER(K111),ISNUMBER(K110)),K111-K110,"")</x:f>
      </x:c>
      <x:c r="O111" s="13" t="str">
        <x:v>Sem informação</x:v>
      </x:c>
      <x:c r="P111" s="26"/>
      <x:c r="Q111" s="13"/>
      <x:c r="R111" s="13"/>
      <x:c r="S111" s="13"/>
      <x:c r="T111" s="13"/>
    </x:row>
    <x:row r="112">
      <x:c r="A112" s="13" t="str">
        <x:v>Brazão</x:v>
      </x:c>
      <x:c r="B112" s="13" t="n">
        <x:v>2028</x:v>
      </x:c>
      <x:c r="C112" s="13" t="str">
        <x:v>T3</x:v>
      </x:c>
      <x:c r="D112" s="24" t="n">
        <x:v>47026</x:v>
      </x:c>
      <x:c r="E112" s="13" t="str">
        <x:v>Goleiro</x:v>
      </x:c>
      <x:c r="F112" s="13" t="str">
        <x:v>Santos FC</x:v>
      </x:c>
      <x:c r="G112" s="16"/>
      <x:c r="H112" s="16"/>
      <x:c r="I112" s="16"/>
      <x:c r="J112" s="16"/>
      <x:c r="K112" s="16" t="str">
        <x:f>IF(COUNT(G112,I112)=0,"",AVERAGE(G112,I112))</x:f>
      </x:c>
      <x:c r="L112" s="16" t="str">
        <x:f>IF(COUNT(H112,J112)=0,"",AVERAGE(H112,J112))</x:f>
      </x:c>
      <x:c r="M112" s="16" t="str">
        <x:f>IF(OR(K112="",L112=""),"",L112-K112)</x:f>
      </x:c>
      <x:c r="N112" s="16" t="str">
        <x:f>IF(AND(A112=A111,ISNUMBER(K112),ISNUMBER(K111)),K112-K111,"")</x:f>
      </x:c>
      <x:c r="O112" s="13" t="str">
        <x:v>Sem informação</x:v>
      </x:c>
      <x:c r="P112" s="26"/>
      <x:c r="Q112" s="13"/>
      <x:c r="R112" s="13"/>
      <x:c r="S112" s="13"/>
      <x:c r="T112" s="13"/>
    </x:row>
    <x:row r="113">
      <x:c r="A113" s="13" t="str">
        <x:v>Brazão</x:v>
      </x:c>
      <x:c r="B113" s="13" t="n">
        <x:v>2028</x:v>
      </x:c>
      <x:c r="C113" s="13" t="str">
        <x:v>T4</x:v>
      </x:c>
      <x:c r="D113" s="24" t="n">
        <x:v>47118</x:v>
      </x:c>
      <x:c r="E113" s="13" t="str">
        <x:v>Goleiro</x:v>
      </x:c>
      <x:c r="F113" s="13" t="str">
        <x:v>Santos FC</x:v>
      </x:c>
      <x:c r="G113" s="16"/>
      <x:c r="H113" s="16"/>
      <x:c r="I113" s="16"/>
      <x:c r="J113" s="16"/>
      <x:c r="K113" s="16" t="str">
        <x:f>IF(COUNT(G113,I113)=0,"",AVERAGE(G113,I113))</x:f>
      </x:c>
      <x:c r="L113" s="16" t="str">
        <x:f>IF(COUNT(H113,J113)=0,"",AVERAGE(H113,J113))</x:f>
      </x:c>
      <x:c r="M113" s="16" t="str">
        <x:f>IF(OR(K113="",L113=""),"",L113-K113)</x:f>
      </x:c>
      <x:c r="N113" s="16" t="str">
        <x:f>IF(AND(A113=A112,ISNUMBER(K113),ISNUMBER(K112)),K113-K112,"")</x:f>
      </x:c>
      <x:c r="O113" s="13" t="str">
        <x:v>Sem informação</x:v>
      </x:c>
      <x:c r="P113" s="26"/>
      <x:c r="Q113" s="13"/>
      <x:c r="R113" s="13"/>
      <x:c r="S113" s="13"/>
      <x:c r="T113" s="13"/>
    </x:row>
    <x:row r="114">
      <x:c r="A114" s="13" t="str">
        <x:v>Brazão</x:v>
      </x:c>
      <x:c r="B114" s="13" t="n">
        <x:v>2029</x:v>
      </x:c>
      <x:c r="C114" s="13" t="str">
        <x:v>T1</x:v>
      </x:c>
      <x:c r="D114" s="24" t="n">
        <x:v>47208</x:v>
      </x:c>
      <x:c r="E114" s="13" t="str">
        <x:v>Goleiro</x:v>
      </x:c>
      <x:c r="F114" s="13" t="str">
        <x:v>Santos FC</x:v>
      </x:c>
      <x:c r="G114" s="16"/>
      <x:c r="H114" s="16"/>
      <x:c r="I114" s="16"/>
      <x:c r="J114" s="16"/>
      <x:c r="K114" s="16" t="str">
        <x:f>IF(COUNT(G114,I114)=0,"",AVERAGE(G114,I114))</x:f>
      </x:c>
      <x:c r="L114" s="16" t="str">
        <x:f>IF(COUNT(H114,J114)=0,"",AVERAGE(H114,J114))</x:f>
      </x:c>
      <x:c r="M114" s="16" t="str">
        <x:f>IF(OR(K114="",L114=""),"",L114-K114)</x:f>
      </x:c>
      <x:c r="N114" s="16" t="str">
        <x:f>IF(AND(A114=A113,ISNUMBER(K114),ISNUMBER(K113)),K114-K113,"")</x:f>
      </x:c>
      <x:c r="O114" s="13" t="str">
        <x:v>Sem informação</x:v>
      </x:c>
      <x:c r="P114" s="26"/>
      <x:c r="Q114" s="13"/>
      <x:c r="R114" s="13"/>
      <x:c r="S114" s="13"/>
      <x:c r="T114" s="13"/>
    </x:row>
    <x:row r="115">
      <x:c r="A115" s="13" t="str">
        <x:v>Brazão</x:v>
      </x:c>
      <x:c r="B115" s="13" t="n">
        <x:v>2029</x:v>
      </x:c>
      <x:c r="C115" s="13" t="str">
        <x:v>T2</x:v>
      </x:c>
      <x:c r="D115" s="24" t="n">
        <x:v>47299</x:v>
      </x:c>
      <x:c r="E115" s="13" t="str">
        <x:v>Goleiro</x:v>
      </x:c>
      <x:c r="F115" s="13" t="str">
        <x:v>Santos FC</x:v>
      </x:c>
      <x:c r="G115" s="16"/>
      <x:c r="H115" s="16"/>
      <x:c r="I115" s="16"/>
      <x:c r="J115" s="16"/>
      <x:c r="K115" s="16" t="str">
        <x:f>IF(COUNT(G115,I115)=0,"",AVERAGE(G115,I115))</x:f>
      </x:c>
      <x:c r="L115" s="16" t="str">
        <x:f>IF(COUNT(H115,J115)=0,"",AVERAGE(H115,J115))</x:f>
      </x:c>
      <x:c r="M115" s="16" t="str">
        <x:f>IF(OR(K115="",L115=""),"",L115-K115)</x:f>
      </x:c>
      <x:c r="N115" s="16" t="str">
        <x:f>IF(AND(A115=A114,ISNUMBER(K115),ISNUMBER(K114)),K115-K114,"")</x:f>
      </x:c>
      <x:c r="O115" s="13" t="str">
        <x:v>Sem informação</x:v>
      </x:c>
      <x:c r="P115" s="26"/>
      <x:c r="Q115" s="13"/>
      <x:c r="R115" s="13"/>
      <x:c r="S115" s="13"/>
      <x:c r="T115" s="13"/>
    </x:row>
    <x:row r="116">
      <x:c r="A116" s="13" t="str">
        <x:v>Brazão</x:v>
      </x:c>
      <x:c r="B116" s="13" t="n">
        <x:v>2029</x:v>
      </x:c>
      <x:c r="C116" s="13" t="str">
        <x:v>T3</x:v>
      </x:c>
      <x:c r="D116" s="24" t="n">
        <x:v>47391</x:v>
      </x:c>
      <x:c r="E116" s="13" t="str">
        <x:v>Goleiro</x:v>
      </x:c>
      <x:c r="F116" s="13" t="str">
        <x:v>Santos FC</x:v>
      </x:c>
      <x:c r="G116" s="16"/>
      <x:c r="H116" s="16"/>
      <x:c r="I116" s="16"/>
      <x:c r="J116" s="16"/>
      <x:c r="K116" s="16" t="str">
        <x:f>IF(COUNT(G116,I116)=0,"",AVERAGE(G116,I116))</x:f>
      </x:c>
      <x:c r="L116" s="16" t="str">
        <x:f>IF(COUNT(H116,J116)=0,"",AVERAGE(H116,J116))</x:f>
      </x:c>
      <x:c r="M116" s="16" t="str">
        <x:f>IF(OR(K116="",L116=""),"",L116-K116)</x:f>
      </x:c>
      <x:c r="N116" s="16" t="str">
        <x:f>IF(AND(A116=A115,ISNUMBER(K116),ISNUMBER(K115)),K116-K115,"")</x:f>
      </x:c>
      <x:c r="O116" s="13" t="str">
        <x:v>Sem informação</x:v>
      </x:c>
      <x:c r="P116" s="26"/>
      <x:c r="Q116" s="13"/>
      <x:c r="R116" s="13"/>
      <x:c r="S116" s="13"/>
      <x:c r="T116" s="13"/>
    </x:row>
    <x:row r="117">
      <x:c r="A117" s="13" t="str">
        <x:v>Brazão</x:v>
      </x:c>
      <x:c r="B117" s="13" t="n">
        <x:v>2029</x:v>
      </x:c>
      <x:c r="C117" s="13" t="str">
        <x:v>T4</x:v>
      </x:c>
      <x:c r="D117" s="24" t="n">
        <x:v>47483</x:v>
      </x:c>
      <x:c r="E117" s="13" t="str">
        <x:v>Goleiro</x:v>
      </x:c>
      <x:c r="F117" s="13" t="str">
        <x:v>Santos FC</x:v>
      </x:c>
      <x:c r="G117" s="16"/>
      <x:c r="H117" s="16"/>
      <x:c r="I117" s="16"/>
      <x:c r="J117" s="16"/>
      <x:c r="K117" s="16" t="str">
        <x:f>IF(COUNT(G117,I117)=0,"",AVERAGE(G117,I117))</x:f>
      </x:c>
      <x:c r="L117" s="16" t="str">
        <x:f>IF(COUNT(H117,J117)=0,"",AVERAGE(H117,J117))</x:f>
      </x:c>
      <x:c r="M117" s="16" t="str">
        <x:f>IF(OR(K117="",L117=""),"",L117-K117)</x:f>
      </x:c>
      <x:c r="N117" s="16" t="str">
        <x:f>IF(AND(A117=A116,ISNUMBER(K117),ISNUMBER(K116)),K117-K116,"")</x:f>
      </x:c>
      <x:c r="O117" s="13" t="str">
        <x:v>Sem informação</x:v>
      </x:c>
      <x:c r="P117" s="26"/>
      <x:c r="Q117" s="13"/>
      <x:c r="R117" s="13"/>
      <x:c r="S117" s="13"/>
      <x:c r="T117" s="13"/>
    </x:row>
    <x:row r="118">
      <x:c r="A118" s="13" t="str">
        <x:v>Brazão</x:v>
      </x:c>
      <x:c r="B118" s="13" t="n">
        <x:v>2030</x:v>
      </x:c>
      <x:c r="C118" s="13" t="str">
        <x:v>T1</x:v>
      </x:c>
      <x:c r="D118" s="24" t="n">
        <x:v>47573</x:v>
      </x:c>
      <x:c r="E118" s="13" t="str">
        <x:v>Goleiro</x:v>
      </x:c>
      <x:c r="F118" s="13" t="str">
        <x:v>Santos FC</x:v>
      </x:c>
      <x:c r="G118" s="16"/>
      <x:c r="H118" s="16"/>
      <x:c r="I118" s="16"/>
      <x:c r="J118" s="16"/>
      <x:c r="K118" s="16" t="str">
        <x:f>IF(COUNT(G118,I118)=0,"",AVERAGE(G118,I118))</x:f>
      </x:c>
      <x:c r="L118" s="16" t="str">
        <x:f>IF(COUNT(H118,J118)=0,"",AVERAGE(H118,J118))</x:f>
      </x:c>
      <x:c r="M118" s="16" t="str">
        <x:f>IF(OR(K118="",L118=""),"",L118-K118)</x:f>
      </x:c>
      <x:c r="N118" s="16" t="str">
        <x:f>IF(AND(A118=A117,ISNUMBER(K118),ISNUMBER(K117)),K118-K117,"")</x:f>
      </x:c>
      <x:c r="O118" s="13" t="str">
        <x:v>Sem informação</x:v>
      </x:c>
      <x:c r="P118" s="26"/>
      <x:c r="Q118" s="13"/>
      <x:c r="R118" s="13"/>
      <x:c r="S118" s="13"/>
      <x:c r="T118" s="13"/>
    </x:row>
    <x:row r="119">
      <x:c r="A119" s="13" t="str">
        <x:v>Brazão</x:v>
      </x:c>
      <x:c r="B119" s="13" t="n">
        <x:v>2030</x:v>
      </x:c>
      <x:c r="C119" s="13" t="str">
        <x:v>T2</x:v>
      </x:c>
      <x:c r="D119" s="24" t="n">
        <x:v>47664</x:v>
      </x:c>
      <x:c r="E119" s="13" t="str">
        <x:v>Goleiro</x:v>
      </x:c>
      <x:c r="F119" s="13" t="str">
        <x:v>Santos FC</x:v>
      </x:c>
      <x:c r="G119" s="16"/>
      <x:c r="H119" s="16"/>
      <x:c r="I119" s="16"/>
      <x:c r="J119" s="16"/>
      <x:c r="K119" s="16" t="str">
        <x:f>IF(COUNT(G119,I119)=0,"",AVERAGE(G119,I119))</x:f>
      </x:c>
      <x:c r="L119" s="16" t="str">
        <x:f>IF(COUNT(H119,J119)=0,"",AVERAGE(H119,J119))</x:f>
      </x:c>
      <x:c r="M119" s="16" t="str">
        <x:f>IF(OR(K119="",L119=""),"",L119-K119)</x:f>
      </x:c>
      <x:c r="N119" s="16" t="str">
        <x:f>IF(AND(A119=A118,ISNUMBER(K119),ISNUMBER(K118)),K119-K118,"")</x:f>
      </x:c>
      <x:c r="O119" s="13" t="str">
        <x:v>Sem informação</x:v>
      </x:c>
      <x:c r="P119" s="26"/>
      <x:c r="Q119" s="13"/>
      <x:c r="R119" s="13"/>
      <x:c r="S119" s="13"/>
      <x:c r="T119" s="13"/>
    </x:row>
    <x:row r="120">
      <x:c r="A120" s="13" t="str">
        <x:v>Brazão</x:v>
      </x:c>
      <x:c r="B120" s="13" t="n">
        <x:v>2030</x:v>
      </x:c>
      <x:c r="C120" s="13" t="str">
        <x:v>T3</x:v>
      </x:c>
      <x:c r="D120" s="24" t="n">
        <x:v>47756</x:v>
      </x:c>
      <x:c r="E120" s="13" t="str">
        <x:v>Goleiro</x:v>
      </x:c>
      <x:c r="F120" s="13" t="str">
        <x:v>Santos FC</x:v>
      </x:c>
      <x:c r="G120" s="16"/>
      <x:c r="H120" s="16"/>
      <x:c r="I120" s="16"/>
      <x:c r="J120" s="16"/>
      <x:c r="K120" s="16" t="str">
        <x:f>IF(COUNT(G120,I120)=0,"",AVERAGE(G120,I120))</x:f>
      </x:c>
      <x:c r="L120" s="16" t="str">
        <x:f>IF(COUNT(H120,J120)=0,"",AVERAGE(H120,J120))</x:f>
      </x:c>
      <x:c r="M120" s="16" t="str">
        <x:f>IF(OR(K120="",L120=""),"",L120-K120)</x:f>
      </x:c>
      <x:c r="N120" s="16" t="str">
        <x:f>IF(AND(A120=A119,ISNUMBER(K120),ISNUMBER(K119)),K120-K119,"")</x:f>
      </x:c>
      <x:c r="O120" s="13" t="str">
        <x:v>Sem informação</x:v>
      </x:c>
      <x:c r="P120" s="26"/>
      <x:c r="Q120" s="13"/>
      <x:c r="R120" s="13"/>
      <x:c r="S120" s="13"/>
      <x:c r="T120" s="13"/>
    </x:row>
    <x:row r="121">
      <x:c r="A121" s="13" t="str">
        <x:v>Brazão</x:v>
      </x:c>
      <x:c r="B121" s="13" t="n">
        <x:v>2030</x:v>
      </x:c>
      <x:c r="C121" s="13" t="str">
        <x:v>T4</x:v>
      </x:c>
      <x:c r="D121" s="24" t="n">
        <x:v>47848</x:v>
      </x:c>
      <x:c r="E121" s="13" t="str">
        <x:v>Goleiro</x:v>
      </x:c>
      <x:c r="F121" s="13" t="str">
        <x:v>Santos FC</x:v>
      </x:c>
      <x:c r="G121" s="16"/>
      <x:c r="H121" s="16"/>
      <x:c r="I121" s="16"/>
      <x:c r="J121" s="16"/>
      <x:c r="K121" s="16" t="str">
        <x:f>IF(COUNT(G121,I121)=0,"",AVERAGE(G121,I121))</x:f>
      </x:c>
      <x:c r="L121" s="16" t="str">
        <x:f>IF(COUNT(H121,J121)=0,"",AVERAGE(H121,J121))</x:f>
      </x:c>
      <x:c r="M121" s="16" t="str">
        <x:f>IF(OR(K121="",L121=""),"",L121-K121)</x:f>
      </x:c>
      <x:c r="N121" s="16" t="str">
        <x:f>IF(AND(A121=A120,ISNUMBER(K121),ISNUMBER(K120)),K121-K120,"")</x:f>
      </x:c>
      <x:c r="O121" s="13" t="str">
        <x:v>Sem informação</x:v>
      </x:c>
      <x:c r="P121" s="26"/>
      <x:c r="Q121" s="13"/>
      <x:c r="R121" s="13"/>
      <x:c r="S121" s="13"/>
      <x:c r="T121" s="13"/>
    </x:row>
    <x:row r="122">
      <x:c r="A122" s="13" t="str">
        <x:v>Breno Bidon</x:v>
      </x:c>
      <x:c r="B122" s="13" t="n">
        <x:v>2026</x:v>
      </x:c>
      <x:c r="C122" s="13" t="str">
        <x:v>T1</x:v>
      </x:c>
      <x:c r="D122" s="24" t="n">
        <x:v>46112</x:v>
      </x:c>
      <x:c r="E122" s="13" t="str">
        <x:v>Mezzala esquerdo</x:v>
      </x:c>
      <x:c r="F122" s="13" t="str">
        <x:v>SC Corinthians</x:v>
      </x:c>
      <x:c r="G122" s="16"/>
      <x:c r="H122" s="16"/>
      <x:c r="I122" s="16"/>
      <x:c r="J122" s="16"/>
      <x:c r="K122" s="16" t="str">
        <x:f>IF(COUNT(G122,I122)=0,"",AVERAGE(G122,I122))</x:f>
      </x:c>
      <x:c r="L122" s="16" t="str">
        <x:f>IF(COUNT(H122,J122)=0,"",AVERAGE(H122,J122))</x:f>
      </x:c>
      <x:c r="M122" s="16" t="str">
        <x:f>IF(OR(K122="",L122=""),"",L122-K122)</x:f>
      </x:c>
      <x:c r="N122" s="16" t="str">
        <x:f>IF(AND(A122=A121,ISNUMBER(K122),ISNUMBER(K121)),K122-K121,"")</x:f>
      </x:c>
      <x:c r="O122" s="13" t="str">
        <x:v>Sem informação</x:v>
      </x:c>
      <x:c r="P122" s="26"/>
      <x:c r="Q122" s="13"/>
      <x:c r="R122" s="13"/>
      <x:c r="S122" s="13"/>
      <x:c r="T122" s="13"/>
    </x:row>
    <x:row r="123">
      <x:c r="A123" s="13" t="str">
        <x:v>Breno Bidon</x:v>
      </x:c>
      <x:c r="B123" s="13" t="n">
        <x:v>2026</x:v>
      </x:c>
      <x:c r="C123" s="13" t="str">
        <x:v>T2</x:v>
      </x:c>
      <x:c r="D123" s="24" t="n">
        <x:v>46203</x:v>
      </x:c>
      <x:c r="E123" s="13" t="str">
        <x:v>Mezzala esquerdo</x:v>
      </x:c>
      <x:c r="F123" s="13" t="str">
        <x:v>SC Corinthians</x:v>
      </x:c>
      <x:c r="G123" s="16"/>
      <x:c r="H123" s="16"/>
      <x:c r="I123" s="16"/>
      <x:c r="J123" s="16"/>
      <x:c r="K123" s="16" t="str">
        <x:f>IF(COUNT(G123,I123)=0,"",AVERAGE(G123,I123))</x:f>
      </x:c>
      <x:c r="L123" s="16" t="str">
        <x:f>IF(COUNT(H123,J123)=0,"",AVERAGE(H123,J123))</x:f>
      </x:c>
      <x:c r="M123" s="16" t="str">
        <x:f>IF(OR(K123="",L123=""),"",L123-K123)</x:f>
      </x:c>
      <x:c r="N123" s="16" t="str">
        <x:f>IF(AND(A123=A122,ISNUMBER(K123),ISNUMBER(K122)),K123-K122,"")</x:f>
      </x:c>
      <x:c r="O123" s="13" t="str">
        <x:v>Sem informação</x:v>
      </x:c>
      <x:c r="P123" s="26"/>
      <x:c r="Q123" s="13"/>
      <x:c r="R123" s="13"/>
      <x:c r="S123" s="13"/>
      <x:c r="T123" s="13"/>
    </x:row>
    <x:row r="124">
      <x:c r="A124" s="13" t="str">
        <x:v>Breno Bidon</x:v>
      </x:c>
      <x:c r="B124" s="13" t="n">
        <x:v>2026</x:v>
      </x:c>
      <x:c r="C124" s="13" t="str">
        <x:v>T3</x:v>
      </x:c>
      <x:c r="D124" s="24" t="n">
        <x:v>46295</x:v>
      </x:c>
      <x:c r="E124" s="13" t="str">
        <x:v>Mezzala esquerdo</x:v>
      </x:c>
      <x:c r="F124" s="13" t="str">
        <x:v>SC Corinthians</x:v>
      </x:c>
      <x:c r="G124" s="16"/>
      <x:c r="H124" s="16"/>
      <x:c r="I124" s="16"/>
      <x:c r="J124" s="16"/>
      <x:c r="K124" s="16" t="str">
        <x:f>IF(COUNT(G124,I124)=0,"",AVERAGE(G124,I124))</x:f>
      </x:c>
      <x:c r="L124" s="16" t="str">
        <x:f>IF(COUNT(H124,J124)=0,"",AVERAGE(H124,J124))</x:f>
      </x:c>
      <x:c r="M124" s="16" t="str">
        <x:f>IF(OR(K124="",L124=""),"",L124-K124)</x:f>
      </x:c>
      <x:c r="N124" s="16" t="str">
        <x:f>IF(AND(A124=A123,ISNUMBER(K124),ISNUMBER(K123)),K124-K123,"")</x:f>
      </x:c>
      <x:c r="O124" s="13" t="str">
        <x:v>Sem informação</x:v>
      </x:c>
      <x:c r="P124" s="26"/>
      <x:c r="Q124" s="13"/>
      <x:c r="R124" s="13"/>
      <x:c r="S124" s="13"/>
      <x:c r="T124" s="13"/>
    </x:row>
    <x:row r="125">
      <x:c r="A125" s="13" t="str">
        <x:v>Breno Bidon</x:v>
      </x:c>
      <x:c r="B125" s="13" t="n">
        <x:v>2026</x:v>
      </x:c>
      <x:c r="C125" s="13" t="str">
        <x:v>T4</x:v>
      </x:c>
      <x:c r="D125" s="24" t="n">
        <x:v>46387</x:v>
      </x:c>
      <x:c r="E125" s="13" t="str">
        <x:v>Mezzala esquerdo</x:v>
      </x:c>
      <x:c r="F125" s="13" t="str">
        <x:v>SC Corinthians</x:v>
      </x:c>
      <x:c r="G125" s="16"/>
      <x:c r="H125" s="16"/>
      <x:c r="I125" s="16"/>
      <x:c r="J125" s="16"/>
      <x:c r="K125" s="16" t="str">
        <x:f>IF(COUNT(G125,I125)=0,"",AVERAGE(G125,I125))</x:f>
      </x:c>
      <x:c r="L125" s="16" t="str">
        <x:f>IF(COUNT(H125,J125)=0,"",AVERAGE(H125,J125))</x:f>
      </x:c>
      <x:c r="M125" s="16" t="str">
        <x:f>IF(OR(K125="",L125=""),"",L125-K125)</x:f>
      </x:c>
      <x:c r="N125" s="16" t="str">
        <x:f>IF(AND(A125=A124,ISNUMBER(K125),ISNUMBER(K124)),K125-K124,"")</x:f>
      </x:c>
      <x:c r="O125" s="13" t="str">
        <x:v>Sem informação</x:v>
      </x:c>
      <x:c r="P125" s="26"/>
      <x:c r="Q125" s="13"/>
      <x:c r="R125" s="13"/>
      <x:c r="S125" s="13"/>
      <x:c r="T125" s="13"/>
    </x:row>
    <x:row r="126">
      <x:c r="A126" s="13" t="str">
        <x:v>Breno Bidon</x:v>
      </x:c>
      <x:c r="B126" s="13" t="n">
        <x:v>2027</x:v>
      </x:c>
      <x:c r="C126" s="13" t="str">
        <x:v>T1</x:v>
      </x:c>
      <x:c r="D126" s="24" t="n">
        <x:v>46477</x:v>
      </x:c>
      <x:c r="E126" s="13" t="str">
        <x:v>Mezzala esquerdo</x:v>
      </x:c>
      <x:c r="F126" s="13" t="str">
        <x:v>SC Corinthians</x:v>
      </x:c>
      <x:c r="G126" s="16"/>
      <x:c r="H126" s="16"/>
      <x:c r="I126" s="16"/>
      <x:c r="J126" s="16"/>
      <x:c r="K126" s="16" t="str">
        <x:f>IF(COUNT(G126,I126)=0,"",AVERAGE(G126,I126))</x:f>
      </x:c>
      <x:c r="L126" s="16" t="str">
        <x:f>IF(COUNT(H126,J126)=0,"",AVERAGE(H126,J126))</x:f>
      </x:c>
      <x:c r="M126" s="16" t="str">
        <x:f>IF(OR(K126="",L126=""),"",L126-K126)</x:f>
      </x:c>
      <x:c r="N126" s="16" t="str">
        <x:f>IF(AND(A126=A125,ISNUMBER(K126),ISNUMBER(K125)),K126-K125,"")</x:f>
      </x:c>
      <x:c r="O126" s="13" t="str">
        <x:v>Sem informação</x:v>
      </x:c>
      <x:c r="P126" s="26"/>
      <x:c r="Q126" s="13"/>
      <x:c r="R126" s="13"/>
      <x:c r="S126" s="13"/>
      <x:c r="T126" s="13"/>
    </x:row>
    <x:row r="127">
      <x:c r="A127" s="13" t="str">
        <x:v>Breno Bidon</x:v>
      </x:c>
      <x:c r="B127" s="13" t="n">
        <x:v>2027</x:v>
      </x:c>
      <x:c r="C127" s="13" t="str">
        <x:v>T2</x:v>
      </x:c>
      <x:c r="D127" s="24" t="n">
        <x:v>46568</x:v>
      </x:c>
      <x:c r="E127" s="13" t="str">
        <x:v>Mezzala esquerdo</x:v>
      </x:c>
      <x:c r="F127" s="13" t="str">
        <x:v>SC Corinthians</x:v>
      </x:c>
      <x:c r="G127" s="16"/>
      <x:c r="H127" s="16"/>
      <x:c r="I127" s="16"/>
      <x:c r="J127" s="16"/>
      <x:c r="K127" s="16" t="str">
        <x:f>IF(COUNT(G127,I127)=0,"",AVERAGE(G127,I127))</x:f>
      </x:c>
      <x:c r="L127" s="16" t="str">
        <x:f>IF(COUNT(H127,J127)=0,"",AVERAGE(H127,J127))</x:f>
      </x:c>
      <x:c r="M127" s="16" t="str">
        <x:f>IF(OR(K127="",L127=""),"",L127-K127)</x:f>
      </x:c>
      <x:c r="N127" s="16" t="str">
        <x:f>IF(AND(A127=A126,ISNUMBER(K127),ISNUMBER(K126)),K127-K126,"")</x:f>
      </x:c>
      <x:c r="O127" s="13" t="str">
        <x:v>Sem informação</x:v>
      </x:c>
      <x:c r="P127" s="26"/>
      <x:c r="Q127" s="13"/>
      <x:c r="R127" s="13"/>
      <x:c r="S127" s="13"/>
      <x:c r="T127" s="13"/>
    </x:row>
    <x:row r="128">
      <x:c r="A128" s="13" t="str">
        <x:v>Breno Bidon</x:v>
      </x:c>
      <x:c r="B128" s="13" t="n">
        <x:v>2027</x:v>
      </x:c>
      <x:c r="C128" s="13" t="str">
        <x:v>T3</x:v>
      </x:c>
      <x:c r="D128" s="24" t="n">
        <x:v>46660</x:v>
      </x:c>
      <x:c r="E128" s="13" t="str">
        <x:v>Mezzala esquerdo</x:v>
      </x:c>
      <x:c r="F128" s="13" t="str">
        <x:v>SC Corinthians</x:v>
      </x:c>
      <x:c r="G128" s="16"/>
      <x:c r="H128" s="16"/>
      <x:c r="I128" s="16"/>
      <x:c r="J128" s="16"/>
      <x:c r="K128" s="16" t="str">
        <x:f>IF(COUNT(G128,I128)=0,"",AVERAGE(G128,I128))</x:f>
      </x:c>
      <x:c r="L128" s="16" t="str">
        <x:f>IF(COUNT(H128,J128)=0,"",AVERAGE(H128,J128))</x:f>
      </x:c>
      <x:c r="M128" s="16" t="str">
        <x:f>IF(OR(K128="",L128=""),"",L128-K128)</x:f>
      </x:c>
      <x:c r="N128" s="16" t="str">
        <x:f>IF(AND(A128=A127,ISNUMBER(K128),ISNUMBER(K127)),K128-K127,"")</x:f>
      </x:c>
      <x:c r="O128" s="13" t="str">
        <x:v>Sem informação</x:v>
      </x:c>
      <x:c r="P128" s="26"/>
      <x:c r="Q128" s="13"/>
      <x:c r="R128" s="13"/>
      <x:c r="S128" s="13"/>
      <x:c r="T128" s="13"/>
    </x:row>
    <x:row r="129">
      <x:c r="A129" s="13" t="str">
        <x:v>Breno Bidon</x:v>
      </x:c>
      <x:c r="B129" s="13" t="n">
        <x:v>2027</x:v>
      </x:c>
      <x:c r="C129" s="13" t="str">
        <x:v>T4</x:v>
      </x:c>
      <x:c r="D129" s="24" t="n">
        <x:v>46752</x:v>
      </x:c>
      <x:c r="E129" s="13" t="str">
        <x:v>Mezzala esquerdo</x:v>
      </x:c>
      <x:c r="F129" s="13" t="str">
        <x:v>SC Corinthians</x:v>
      </x:c>
      <x:c r="G129" s="16"/>
      <x:c r="H129" s="16"/>
      <x:c r="I129" s="16"/>
      <x:c r="J129" s="16"/>
      <x:c r="K129" s="16" t="str">
        <x:f>IF(COUNT(G129,I129)=0,"",AVERAGE(G129,I129))</x:f>
      </x:c>
      <x:c r="L129" s="16" t="str">
        <x:f>IF(COUNT(H129,J129)=0,"",AVERAGE(H129,J129))</x:f>
      </x:c>
      <x:c r="M129" s="16" t="str">
        <x:f>IF(OR(K129="",L129=""),"",L129-K129)</x:f>
      </x:c>
      <x:c r="N129" s="16" t="str">
        <x:f>IF(AND(A129=A128,ISNUMBER(K129),ISNUMBER(K128)),K129-K128,"")</x:f>
      </x:c>
      <x:c r="O129" s="13" t="str">
        <x:v>Sem informação</x:v>
      </x:c>
      <x:c r="P129" s="26"/>
      <x:c r="Q129" s="13"/>
      <x:c r="R129" s="13"/>
      <x:c r="S129" s="13"/>
      <x:c r="T129" s="13"/>
    </x:row>
    <x:row r="130">
      <x:c r="A130" s="13" t="str">
        <x:v>Breno Bidon</x:v>
      </x:c>
      <x:c r="B130" s="13" t="n">
        <x:v>2028</x:v>
      </x:c>
      <x:c r="C130" s="13" t="str">
        <x:v>T1</x:v>
      </x:c>
      <x:c r="D130" s="24" t="n">
        <x:v>46843</x:v>
      </x:c>
      <x:c r="E130" s="13" t="str">
        <x:v>Mezzala esquerdo</x:v>
      </x:c>
      <x:c r="F130" s="13" t="str">
        <x:v>SC Corinthians</x:v>
      </x:c>
      <x:c r="G130" s="16"/>
      <x:c r="H130" s="16"/>
      <x:c r="I130" s="16"/>
      <x:c r="J130" s="16"/>
      <x:c r="K130" s="16" t="str">
        <x:f>IF(COUNT(G130,I130)=0,"",AVERAGE(G130,I130))</x:f>
      </x:c>
      <x:c r="L130" s="16" t="str">
        <x:f>IF(COUNT(H130,J130)=0,"",AVERAGE(H130,J130))</x:f>
      </x:c>
      <x:c r="M130" s="16" t="str">
        <x:f>IF(OR(K130="",L130=""),"",L130-K130)</x:f>
      </x:c>
      <x:c r="N130" s="16" t="str">
        <x:f>IF(AND(A130=A129,ISNUMBER(K130),ISNUMBER(K129)),K130-K129,"")</x:f>
      </x:c>
      <x:c r="O130" s="13" t="str">
        <x:v>Sem informação</x:v>
      </x:c>
      <x:c r="P130" s="26"/>
      <x:c r="Q130" s="13"/>
      <x:c r="R130" s="13"/>
      <x:c r="S130" s="13"/>
      <x:c r="T130" s="13"/>
    </x:row>
    <x:row r="131">
      <x:c r="A131" s="13" t="str">
        <x:v>Breno Bidon</x:v>
      </x:c>
      <x:c r="B131" s="13" t="n">
        <x:v>2028</x:v>
      </x:c>
      <x:c r="C131" s="13" t="str">
        <x:v>T2</x:v>
      </x:c>
      <x:c r="D131" s="24" t="n">
        <x:v>46934</x:v>
      </x:c>
      <x:c r="E131" s="13" t="str">
        <x:v>Mezzala esquerdo</x:v>
      </x:c>
      <x:c r="F131" s="13" t="str">
        <x:v>SC Corinthians</x:v>
      </x:c>
      <x:c r="G131" s="16"/>
      <x:c r="H131" s="16"/>
      <x:c r="I131" s="16"/>
      <x:c r="J131" s="16"/>
      <x:c r="K131" s="16" t="str">
        <x:f>IF(COUNT(G131,I131)=0,"",AVERAGE(G131,I131))</x:f>
      </x:c>
      <x:c r="L131" s="16" t="str">
        <x:f>IF(COUNT(H131,J131)=0,"",AVERAGE(H131,J131))</x:f>
      </x:c>
      <x:c r="M131" s="16" t="str">
        <x:f>IF(OR(K131="",L131=""),"",L131-K131)</x:f>
      </x:c>
      <x:c r="N131" s="16" t="str">
        <x:f>IF(AND(A131=A130,ISNUMBER(K131),ISNUMBER(K130)),K131-K130,"")</x:f>
      </x:c>
      <x:c r="O131" s="13" t="str">
        <x:v>Sem informação</x:v>
      </x:c>
      <x:c r="P131" s="26"/>
      <x:c r="Q131" s="13"/>
      <x:c r="R131" s="13"/>
      <x:c r="S131" s="13"/>
      <x:c r="T131" s="13"/>
    </x:row>
    <x:row r="132">
      <x:c r="A132" s="13" t="str">
        <x:v>Breno Bidon</x:v>
      </x:c>
      <x:c r="B132" s="13" t="n">
        <x:v>2028</x:v>
      </x:c>
      <x:c r="C132" s="13" t="str">
        <x:v>T3</x:v>
      </x:c>
      <x:c r="D132" s="24" t="n">
        <x:v>47026</x:v>
      </x:c>
      <x:c r="E132" s="13" t="str">
        <x:v>Mezzala esquerdo</x:v>
      </x:c>
      <x:c r="F132" s="13" t="str">
        <x:v>SC Corinthians</x:v>
      </x:c>
      <x:c r="G132" s="16"/>
      <x:c r="H132" s="16"/>
      <x:c r="I132" s="16"/>
      <x:c r="J132" s="16"/>
      <x:c r="K132" s="16" t="str">
        <x:f>IF(COUNT(G132,I132)=0,"",AVERAGE(G132,I132))</x:f>
      </x:c>
      <x:c r="L132" s="16" t="str">
        <x:f>IF(COUNT(H132,J132)=0,"",AVERAGE(H132,J132))</x:f>
      </x:c>
      <x:c r="M132" s="16" t="str">
        <x:f>IF(OR(K132="",L132=""),"",L132-K132)</x:f>
      </x:c>
      <x:c r="N132" s="16" t="str">
        <x:f>IF(AND(A132=A131,ISNUMBER(K132),ISNUMBER(K131)),K132-K131,"")</x:f>
      </x:c>
      <x:c r="O132" s="13" t="str">
        <x:v>Sem informação</x:v>
      </x:c>
      <x:c r="P132" s="26"/>
      <x:c r="Q132" s="13"/>
      <x:c r="R132" s="13"/>
      <x:c r="S132" s="13"/>
      <x:c r="T132" s="13"/>
    </x:row>
    <x:row r="133">
      <x:c r="A133" s="13" t="str">
        <x:v>Breno Bidon</x:v>
      </x:c>
      <x:c r="B133" s="13" t="n">
        <x:v>2028</x:v>
      </x:c>
      <x:c r="C133" s="13" t="str">
        <x:v>T4</x:v>
      </x:c>
      <x:c r="D133" s="24" t="n">
        <x:v>47118</x:v>
      </x:c>
      <x:c r="E133" s="13" t="str">
        <x:v>Mezzala esquerdo</x:v>
      </x:c>
      <x:c r="F133" s="13" t="str">
        <x:v>SC Corinthians</x:v>
      </x:c>
      <x:c r="G133" s="16"/>
      <x:c r="H133" s="16"/>
      <x:c r="I133" s="16"/>
      <x:c r="J133" s="16"/>
      <x:c r="K133" s="16" t="str">
        <x:f>IF(COUNT(G133,I133)=0,"",AVERAGE(G133,I133))</x:f>
      </x:c>
      <x:c r="L133" s="16" t="str">
        <x:f>IF(COUNT(H133,J133)=0,"",AVERAGE(H133,J133))</x:f>
      </x:c>
      <x:c r="M133" s="16" t="str">
        <x:f>IF(OR(K133="",L133=""),"",L133-K133)</x:f>
      </x:c>
      <x:c r="N133" s="16" t="str">
        <x:f>IF(AND(A133=A132,ISNUMBER(K133),ISNUMBER(K132)),K133-K132,"")</x:f>
      </x:c>
      <x:c r="O133" s="13" t="str">
        <x:v>Sem informação</x:v>
      </x:c>
      <x:c r="P133" s="26"/>
      <x:c r="Q133" s="13"/>
      <x:c r="R133" s="13"/>
      <x:c r="S133" s="13"/>
      <x:c r="T133" s="13"/>
    </x:row>
    <x:row r="134">
      <x:c r="A134" s="13" t="str">
        <x:v>Breno Bidon</x:v>
      </x:c>
      <x:c r="B134" s="13" t="n">
        <x:v>2029</x:v>
      </x:c>
      <x:c r="C134" s="13" t="str">
        <x:v>T1</x:v>
      </x:c>
      <x:c r="D134" s="24" t="n">
        <x:v>47208</x:v>
      </x:c>
      <x:c r="E134" s="13" t="str">
        <x:v>Mezzala esquerdo</x:v>
      </x:c>
      <x:c r="F134" s="13" t="str">
        <x:v>SC Corinthians</x:v>
      </x:c>
      <x:c r="G134" s="16"/>
      <x:c r="H134" s="16"/>
      <x:c r="I134" s="16"/>
      <x:c r="J134" s="16"/>
      <x:c r="K134" s="16" t="str">
        <x:f>IF(COUNT(G134,I134)=0,"",AVERAGE(G134,I134))</x:f>
      </x:c>
      <x:c r="L134" s="16" t="str">
        <x:f>IF(COUNT(H134,J134)=0,"",AVERAGE(H134,J134))</x:f>
      </x:c>
      <x:c r="M134" s="16" t="str">
        <x:f>IF(OR(K134="",L134=""),"",L134-K134)</x:f>
      </x:c>
      <x:c r="N134" s="16" t="str">
        <x:f>IF(AND(A134=A133,ISNUMBER(K134),ISNUMBER(K133)),K134-K133,"")</x:f>
      </x:c>
      <x:c r="O134" s="13" t="str">
        <x:v>Sem informação</x:v>
      </x:c>
      <x:c r="P134" s="26"/>
      <x:c r="Q134" s="13"/>
      <x:c r="R134" s="13"/>
      <x:c r="S134" s="13"/>
      <x:c r="T134" s="13"/>
    </x:row>
    <x:row r="135">
      <x:c r="A135" s="13" t="str">
        <x:v>Breno Bidon</x:v>
      </x:c>
      <x:c r="B135" s="13" t="n">
        <x:v>2029</x:v>
      </x:c>
      <x:c r="C135" s="13" t="str">
        <x:v>T2</x:v>
      </x:c>
      <x:c r="D135" s="24" t="n">
        <x:v>47299</x:v>
      </x:c>
      <x:c r="E135" s="13" t="str">
        <x:v>Mezzala esquerdo</x:v>
      </x:c>
      <x:c r="F135" s="13" t="str">
        <x:v>SC Corinthians</x:v>
      </x:c>
      <x:c r="G135" s="16"/>
      <x:c r="H135" s="16"/>
      <x:c r="I135" s="16"/>
      <x:c r="J135" s="16"/>
      <x:c r="K135" s="16" t="str">
        <x:f>IF(COUNT(G135,I135)=0,"",AVERAGE(G135,I135))</x:f>
      </x:c>
      <x:c r="L135" s="16" t="str">
        <x:f>IF(COUNT(H135,J135)=0,"",AVERAGE(H135,J135))</x:f>
      </x:c>
      <x:c r="M135" s="16" t="str">
        <x:f>IF(OR(K135="",L135=""),"",L135-K135)</x:f>
      </x:c>
      <x:c r="N135" s="16" t="str">
        <x:f>IF(AND(A135=A134,ISNUMBER(K135),ISNUMBER(K134)),K135-K134,"")</x:f>
      </x:c>
      <x:c r="O135" s="13" t="str">
        <x:v>Sem informação</x:v>
      </x:c>
      <x:c r="P135" s="26"/>
      <x:c r="Q135" s="13"/>
      <x:c r="R135" s="13"/>
      <x:c r="S135" s="13"/>
      <x:c r="T135" s="13"/>
    </x:row>
    <x:row r="136">
      <x:c r="A136" s="13" t="str">
        <x:v>Breno Bidon</x:v>
      </x:c>
      <x:c r="B136" s="13" t="n">
        <x:v>2029</x:v>
      </x:c>
      <x:c r="C136" s="13" t="str">
        <x:v>T3</x:v>
      </x:c>
      <x:c r="D136" s="24" t="n">
        <x:v>47391</x:v>
      </x:c>
      <x:c r="E136" s="13" t="str">
        <x:v>Mezzala esquerdo</x:v>
      </x:c>
      <x:c r="F136" s="13" t="str">
        <x:v>SC Corinthians</x:v>
      </x:c>
      <x:c r="G136" s="16"/>
      <x:c r="H136" s="16"/>
      <x:c r="I136" s="16"/>
      <x:c r="J136" s="16"/>
      <x:c r="K136" s="16" t="str">
        <x:f>IF(COUNT(G136,I136)=0,"",AVERAGE(G136,I136))</x:f>
      </x:c>
      <x:c r="L136" s="16" t="str">
        <x:f>IF(COUNT(H136,J136)=0,"",AVERAGE(H136,J136))</x:f>
      </x:c>
      <x:c r="M136" s="16" t="str">
        <x:f>IF(OR(K136="",L136=""),"",L136-K136)</x:f>
      </x:c>
      <x:c r="N136" s="16" t="str">
        <x:f>IF(AND(A136=A135,ISNUMBER(K136),ISNUMBER(K135)),K136-K135,"")</x:f>
      </x:c>
      <x:c r="O136" s="13" t="str">
        <x:v>Sem informação</x:v>
      </x:c>
      <x:c r="P136" s="26"/>
      <x:c r="Q136" s="13"/>
      <x:c r="R136" s="13"/>
      <x:c r="S136" s="13"/>
      <x:c r="T136" s="13"/>
    </x:row>
    <x:row r="137">
      <x:c r="A137" s="13" t="str">
        <x:v>Breno Bidon</x:v>
      </x:c>
      <x:c r="B137" s="13" t="n">
        <x:v>2029</x:v>
      </x:c>
      <x:c r="C137" s="13" t="str">
        <x:v>T4</x:v>
      </x:c>
      <x:c r="D137" s="24" t="n">
        <x:v>47483</x:v>
      </x:c>
      <x:c r="E137" s="13" t="str">
        <x:v>Mezzala esquerdo</x:v>
      </x:c>
      <x:c r="F137" s="13" t="str">
        <x:v>SC Corinthians</x:v>
      </x:c>
      <x:c r="G137" s="16"/>
      <x:c r="H137" s="16"/>
      <x:c r="I137" s="16"/>
      <x:c r="J137" s="16"/>
      <x:c r="K137" s="16" t="str">
        <x:f>IF(COUNT(G137,I137)=0,"",AVERAGE(G137,I137))</x:f>
      </x:c>
      <x:c r="L137" s="16" t="str">
        <x:f>IF(COUNT(H137,J137)=0,"",AVERAGE(H137,J137))</x:f>
      </x:c>
      <x:c r="M137" s="16" t="str">
        <x:f>IF(OR(K137="",L137=""),"",L137-K137)</x:f>
      </x:c>
      <x:c r="N137" s="16" t="str">
        <x:f>IF(AND(A137=A136,ISNUMBER(K137),ISNUMBER(K136)),K137-K136,"")</x:f>
      </x:c>
      <x:c r="O137" s="13" t="str">
        <x:v>Sem informação</x:v>
      </x:c>
      <x:c r="P137" s="26"/>
      <x:c r="Q137" s="13"/>
      <x:c r="R137" s="13"/>
      <x:c r="S137" s="13"/>
      <x:c r="T137" s="13"/>
    </x:row>
    <x:row r="138">
      <x:c r="A138" s="13" t="str">
        <x:v>Breno Bidon</x:v>
      </x:c>
      <x:c r="B138" s="13" t="n">
        <x:v>2030</x:v>
      </x:c>
      <x:c r="C138" s="13" t="str">
        <x:v>T1</x:v>
      </x:c>
      <x:c r="D138" s="24" t="n">
        <x:v>47573</x:v>
      </x:c>
      <x:c r="E138" s="13" t="str">
        <x:v>Mezzala esquerdo</x:v>
      </x:c>
      <x:c r="F138" s="13" t="str">
        <x:v>SC Corinthians</x:v>
      </x:c>
      <x:c r="G138" s="16"/>
      <x:c r="H138" s="16"/>
      <x:c r="I138" s="16"/>
      <x:c r="J138" s="16"/>
      <x:c r="K138" s="16" t="str">
        <x:f>IF(COUNT(G138,I138)=0,"",AVERAGE(G138,I138))</x:f>
      </x:c>
      <x:c r="L138" s="16" t="str">
        <x:f>IF(COUNT(H138,J138)=0,"",AVERAGE(H138,J138))</x:f>
      </x:c>
      <x:c r="M138" s="16" t="str">
        <x:f>IF(OR(K138="",L138=""),"",L138-K138)</x:f>
      </x:c>
      <x:c r="N138" s="16" t="str">
        <x:f>IF(AND(A138=A137,ISNUMBER(K138),ISNUMBER(K137)),K138-K137,"")</x:f>
      </x:c>
      <x:c r="O138" s="13" t="str">
        <x:v>Sem informação</x:v>
      </x:c>
      <x:c r="P138" s="26"/>
      <x:c r="Q138" s="13"/>
      <x:c r="R138" s="13"/>
      <x:c r="S138" s="13"/>
      <x:c r="T138" s="13"/>
    </x:row>
    <x:row r="139">
      <x:c r="A139" s="13" t="str">
        <x:v>Breno Bidon</x:v>
      </x:c>
      <x:c r="B139" s="13" t="n">
        <x:v>2030</x:v>
      </x:c>
      <x:c r="C139" s="13" t="str">
        <x:v>T2</x:v>
      </x:c>
      <x:c r="D139" s="24" t="n">
        <x:v>47664</x:v>
      </x:c>
      <x:c r="E139" s="13" t="str">
        <x:v>Mezzala esquerdo</x:v>
      </x:c>
      <x:c r="F139" s="13" t="str">
        <x:v>SC Corinthians</x:v>
      </x:c>
      <x:c r="G139" s="16"/>
      <x:c r="H139" s="16"/>
      <x:c r="I139" s="16"/>
      <x:c r="J139" s="16"/>
      <x:c r="K139" s="16" t="str">
        <x:f>IF(COUNT(G139,I139)=0,"",AVERAGE(G139,I139))</x:f>
      </x:c>
      <x:c r="L139" s="16" t="str">
        <x:f>IF(COUNT(H139,J139)=0,"",AVERAGE(H139,J139))</x:f>
      </x:c>
      <x:c r="M139" s="16" t="str">
        <x:f>IF(OR(K139="",L139=""),"",L139-K139)</x:f>
      </x:c>
      <x:c r="N139" s="16" t="str">
        <x:f>IF(AND(A139=A138,ISNUMBER(K139),ISNUMBER(K138)),K139-K138,"")</x:f>
      </x:c>
      <x:c r="O139" s="13" t="str">
        <x:v>Sem informação</x:v>
      </x:c>
      <x:c r="P139" s="26"/>
      <x:c r="Q139" s="13"/>
      <x:c r="R139" s="13"/>
      <x:c r="S139" s="13"/>
      <x:c r="T139" s="13"/>
    </x:row>
    <x:row r="140">
      <x:c r="A140" s="13" t="str">
        <x:v>Breno Bidon</x:v>
      </x:c>
      <x:c r="B140" s="13" t="n">
        <x:v>2030</x:v>
      </x:c>
      <x:c r="C140" s="13" t="str">
        <x:v>T3</x:v>
      </x:c>
      <x:c r="D140" s="24" t="n">
        <x:v>47756</x:v>
      </x:c>
      <x:c r="E140" s="13" t="str">
        <x:v>Mezzala esquerdo</x:v>
      </x:c>
      <x:c r="F140" s="13" t="str">
        <x:v>SC Corinthians</x:v>
      </x:c>
      <x:c r="G140" s="16"/>
      <x:c r="H140" s="16"/>
      <x:c r="I140" s="16"/>
      <x:c r="J140" s="16"/>
      <x:c r="K140" s="16" t="str">
        <x:f>IF(COUNT(G140,I140)=0,"",AVERAGE(G140,I140))</x:f>
      </x:c>
      <x:c r="L140" s="16" t="str">
        <x:f>IF(COUNT(H140,J140)=0,"",AVERAGE(H140,J140))</x:f>
      </x:c>
      <x:c r="M140" s="16" t="str">
        <x:f>IF(OR(K140="",L140=""),"",L140-K140)</x:f>
      </x:c>
      <x:c r="N140" s="16" t="str">
        <x:f>IF(AND(A140=A139,ISNUMBER(K140),ISNUMBER(K139)),K140-K139,"")</x:f>
      </x:c>
      <x:c r="O140" s="13" t="str">
        <x:v>Sem informação</x:v>
      </x:c>
      <x:c r="P140" s="26"/>
      <x:c r="Q140" s="13"/>
      <x:c r="R140" s="13"/>
      <x:c r="S140" s="13"/>
      <x:c r="T140" s="13"/>
    </x:row>
    <x:row r="141">
      <x:c r="A141" s="13" t="str">
        <x:v>Breno Bidon</x:v>
      </x:c>
      <x:c r="B141" s="13" t="n">
        <x:v>2030</x:v>
      </x:c>
      <x:c r="C141" s="13" t="str">
        <x:v>T4</x:v>
      </x:c>
      <x:c r="D141" s="24" t="n">
        <x:v>47848</x:v>
      </x:c>
      <x:c r="E141" s="13" t="str">
        <x:v>Mezzala esquerdo</x:v>
      </x:c>
      <x:c r="F141" s="13" t="str">
        <x:v>SC Corinthians</x:v>
      </x:c>
      <x:c r="G141" s="16"/>
      <x:c r="H141" s="16"/>
      <x:c r="I141" s="16"/>
      <x:c r="J141" s="16"/>
      <x:c r="K141" s="16" t="str">
        <x:f>IF(COUNT(G141,I141)=0,"",AVERAGE(G141,I141))</x:f>
      </x:c>
      <x:c r="L141" s="16" t="str">
        <x:f>IF(COUNT(H141,J141)=0,"",AVERAGE(H141,J141))</x:f>
      </x:c>
      <x:c r="M141" s="16" t="str">
        <x:f>IF(OR(K141="",L141=""),"",L141-K141)</x:f>
      </x:c>
      <x:c r="N141" s="16" t="str">
        <x:f>IF(AND(A141=A140,ISNUMBER(K141),ISNUMBER(K140)),K141-K140,"")</x:f>
      </x:c>
      <x:c r="O141" s="13" t="str">
        <x:v>Sem informação</x:v>
      </x:c>
      <x:c r="P141" s="26"/>
      <x:c r="Q141" s="13"/>
      <x:c r="R141" s="13"/>
      <x:c r="S141" s="13"/>
      <x:c r="T141" s="13"/>
    </x:row>
    <x:row r="142">
      <x:c r="A142" s="13" t="str">
        <x:v>Bruno Guimarães</x:v>
      </x:c>
      <x:c r="B142" s="13" t="n">
        <x:v>2026</x:v>
      </x:c>
      <x:c r="C142" s="13" t="str">
        <x:v>T1</x:v>
      </x:c>
      <x:c r="D142" s="24" t="n">
        <x:v>46112</x:v>
      </x:c>
      <x:c r="E142" s="13" t="str">
        <x:v>Mezzala esquerdo</x:v>
      </x:c>
      <x:c r="F142" s="13" t="str">
        <x:v>Newcastle United</x:v>
      </x:c>
      <x:c r="G142" s="16"/>
      <x:c r="H142" s="16"/>
      <x:c r="I142" s="16"/>
      <x:c r="J142" s="16"/>
      <x:c r="K142" s="16" t="str">
        <x:f>IF(COUNT(G142,I142)=0,"",AVERAGE(G142,I142))</x:f>
      </x:c>
      <x:c r="L142" s="16" t="str">
        <x:f>IF(COUNT(H142,J142)=0,"",AVERAGE(H142,J142))</x:f>
      </x:c>
      <x:c r="M142" s="16" t="str">
        <x:f>IF(OR(K142="",L142=""),"",L142-K142)</x:f>
      </x:c>
      <x:c r="N142" s="16" t="str">
        <x:f>IF(AND(A142=A141,ISNUMBER(K142),ISNUMBER(K141)),K142-K141,"")</x:f>
      </x:c>
      <x:c r="O142" s="13" t="str">
        <x:v>Sem informação</x:v>
      </x:c>
      <x:c r="P142" s="26"/>
      <x:c r="Q142" s="13"/>
      <x:c r="R142" s="13"/>
      <x:c r="S142" s="13"/>
      <x:c r="T142" s="13"/>
    </x:row>
    <x:row r="143">
      <x:c r="A143" s="13" t="str">
        <x:v>Bruno Guimarães</x:v>
      </x:c>
      <x:c r="B143" s="13" t="n">
        <x:v>2026</x:v>
      </x:c>
      <x:c r="C143" s="13" t="str">
        <x:v>T2</x:v>
      </x:c>
      <x:c r="D143" s="24" t="n">
        <x:v>46203</x:v>
      </x:c>
      <x:c r="E143" s="13" t="str">
        <x:v>Mezzala esquerdo</x:v>
      </x:c>
      <x:c r="F143" s="13" t="str">
        <x:v>Newcastle United</x:v>
      </x:c>
      <x:c r="G143" s="16"/>
      <x:c r="H143" s="16"/>
      <x:c r="I143" s="16"/>
      <x:c r="J143" s="16"/>
      <x:c r="K143" s="16" t="str">
        <x:f>IF(COUNT(G143,I143)=0,"",AVERAGE(G143,I143))</x:f>
      </x:c>
      <x:c r="L143" s="16" t="str">
        <x:f>IF(COUNT(H143,J143)=0,"",AVERAGE(H143,J143))</x:f>
      </x:c>
      <x:c r="M143" s="16" t="str">
        <x:f>IF(OR(K143="",L143=""),"",L143-K143)</x:f>
      </x:c>
      <x:c r="N143" s="16" t="str">
        <x:f>IF(AND(A143=A142,ISNUMBER(K143),ISNUMBER(K142)),K143-K142,"")</x:f>
      </x:c>
      <x:c r="O143" s="13" t="str">
        <x:v>Sem informação</x:v>
      </x:c>
      <x:c r="P143" s="26"/>
      <x:c r="Q143" s="13"/>
      <x:c r="R143" s="13"/>
      <x:c r="S143" s="13"/>
      <x:c r="T143" s="13"/>
    </x:row>
    <x:row r="144">
      <x:c r="A144" s="13" t="str">
        <x:v>Bruno Guimarães</x:v>
      </x:c>
      <x:c r="B144" s="13" t="n">
        <x:v>2026</x:v>
      </x:c>
      <x:c r="C144" s="13" t="str">
        <x:v>T3</x:v>
      </x:c>
      <x:c r="D144" s="24" t="n">
        <x:v>46295</x:v>
      </x:c>
      <x:c r="E144" s="13" t="str">
        <x:v>Mezzala esquerdo</x:v>
      </x:c>
      <x:c r="F144" s="13" t="str">
        <x:v>Newcastle United</x:v>
      </x:c>
      <x:c r="G144" s="16"/>
      <x:c r="H144" s="16"/>
      <x:c r="I144" s="16"/>
      <x:c r="J144" s="16"/>
      <x:c r="K144" s="16" t="str">
        <x:f>IF(COUNT(G144,I144)=0,"",AVERAGE(G144,I144))</x:f>
      </x:c>
      <x:c r="L144" s="16" t="str">
        <x:f>IF(COUNT(H144,J144)=0,"",AVERAGE(H144,J144))</x:f>
      </x:c>
      <x:c r="M144" s="16" t="str">
        <x:f>IF(OR(K144="",L144=""),"",L144-K144)</x:f>
      </x:c>
      <x:c r="N144" s="16" t="str">
        <x:f>IF(AND(A144=A143,ISNUMBER(K144),ISNUMBER(K143)),K144-K143,"")</x:f>
      </x:c>
      <x:c r="O144" s="13" t="str">
        <x:v>Sem informação</x:v>
      </x:c>
      <x:c r="P144" s="26"/>
      <x:c r="Q144" s="13"/>
      <x:c r="R144" s="13"/>
      <x:c r="S144" s="13"/>
      <x:c r="T144" s="13"/>
    </x:row>
    <x:row r="145">
      <x:c r="A145" s="13" t="str">
        <x:v>Bruno Guimarães</x:v>
      </x:c>
      <x:c r="B145" s="13" t="n">
        <x:v>2026</x:v>
      </x:c>
      <x:c r="C145" s="13" t="str">
        <x:v>T4</x:v>
      </x:c>
      <x:c r="D145" s="24" t="n">
        <x:v>46387</x:v>
      </x:c>
      <x:c r="E145" s="13" t="str">
        <x:v>Mezzala esquerdo</x:v>
      </x:c>
      <x:c r="F145" s="13" t="str">
        <x:v>Newcastle United</x:v>
      </x:c>
      <x:c r="G145" s="16"/>
      <x:c r="H145" s="16"/>
      <x:c r="I145" s="16"/>
      <x:c r="J145" s="16"/>
      <x:c r="K145" s="16" t="str">
        <x:f>IF(COUNT(G145,I145)=0,"",AVERAGE(G145,I145))</x:f>
      </x:c>
      <x:c r="L145" s="16" t="str">
        <x:f>IF(COUNT(H145,J145)=0,"",AVERAGE(H145,J145))</x:f>
      </x:c>
      <x:c r="M145" s="16" t="str">
        <x:f>IF(OR(K145="",L145=""),"",L145-K145)</x:f>
      </x:c>
      <x:c r="N145" s="16" t="str">
        <x:f>IF(AND(A145=A144,ISNUMBER(K145),ISNUMBER(K144)),K145-K144,"")</x:f>
      </x:c>
      <x:c r="O145" s="13" t="str">
        <x:v>Sem informação</x:v>
      </x:c>
      <x:c r="P145" s="26"/>
      <x:c r="Q145" s="13"/>
      <x:c r="R145" s="13"/>
      <x:c r="S145" s="13"/>
      <x:c r="T145" s="13"/>
    </x:row>
    <x:row r="146">
      <x:c r="A146" s="13" t="str">
        <x:v>Bruno Guimarães</x:v>
      </x:c>
      <x:c r="B146" s="13" t="n">
        <x:v>2027</x:v>
      </x:c>
      <x:c r="C146" s="13" t="str">
        <x:v>T1</x:v>
      </x:c>
      <x:c r="D146" s="24" t="n">
        <x:v>46477</x:v>
      </x:c>
      <x:c r="E146" s="13" t="str">
        <x:v>Mezzala esquerdo</x:v>
      </x:c>
      <x:c r="F146" s="13" t="str">
        <x:v>Newcastle United</x:v>
      </x:c>
      <x:c r="G146" s="16"/>
      <x:c r="H146" s="16"/>
      <x:c r="I146" s="16"/>
      <x:c r="J146" s="16"/>
      <x:c r="K146" s="16" t="str">
        <x:f>IF(COUNT(G146,I146)=0,"",AVERAGE(G146,I146))</x:f>
      </x:c>
      <x:c r="L146" s="16" t="str">
        <x:f>IF(COUNT(H146,J146)=0,"",AVERAGE(H146,J146))</x:f>
      </x:c>
      <x:c r="M146" s="16" t="str">
        <x:f>IF(OR(K146="",L146=""),"",L146-K146)</x:f>
      </x:c>
      <x:c r="N146" s="16" t="str">
        <x:f>IF(AND(A146=A145,ISNUMBER(K146),ISNUMBER(K145)),K146-K145,"")</x:f>
      </x:c>
      <x:c r="O146" s="13" t="str">
        <x:v>Sem informação</x:v>
      </x:c>
      <x:c r="P146" s="26"/>
      <x:c r="Q146" s="13"/>
      <x:c r="R146" s="13"/>
      <x:c r="S146" s="13"/>
      <x:c r="T146" s="13"/>
    </x:row>
    <x:row r="147">
      <x:c r="A147" s="13" t="str">
        <x:v>Bruno Guimarães</x:v>
      </x:c>
      <x:c r="B147" s="13" t="n">
        <x:v>2027</x:v>
      </x:c>
      <x:c r="C147" s="13" t="str">
        <x:v>T2</x:v>
      </x:c>
      <x:c r="D147" s="24" t="n">
        <x:v>46568</x:v>
      </x:c>
      <x:c r="E147" s="13" t="str">
        <x:v>Mezzala esquerdo</x:v>
      </x:c>
      <x:c r="F147" s="13" t="str">
        <x:v>Newcastle United</x:v>
      </x:c>
      <x:c r="G147" s="16"/>
      <x:c r="H147" s="16"/>
      <x:c r="I147" s="16"/>
      <x:c r="J147" s="16"/>
      <x:c r="K147" s="16" t="str">
        <x:f>IF(COUNT(G147,I147)=0,"",AVERAGE(G147,I147))</x:f>
      </x:c>
      <x:c r="L147" s="16" t="str">
        <x:f>IF(COUNT(H147,J147)=0,"",AVERAGE(H147,J147))</x:f>
      </x:c>
      <x:c r="M147" s="16" t="str">
        <x:f>IF(OR(K147="",L147=""),"",L147-K147)</x:f>
      </x:c>
      <x:c r="N147" s="16" t="str">
        <x:f>IF(AND(A147=A146,ISNUMBER(K147),ISNUMBER(K146)),K147-K146,"")</x:f>
      </x:c>
      <x:c r="O147" s="13" t="str">
        <x:v>Sem informação</x:v>
      </x:c>
      <x:c r="P147" s="26"/>
      <x:c r="Q147" s="13"/>
      <x:c r="R147" s="13"/>
      <x:c r="S147" s="13"/>
      <x:c r="T147" s="13"/>
    </x:row>
    <x:row r="148">
      <x:c r="A148" s="13" t="str">
        <x:v>Bruno Guimarães</x:v>
      </x:c>
      <x:c r="B148" s="13" t="n">
        <x:v>2027</x:v>
      </x:c>
      <x:c r="C148" s="13" t="str">
        <x:v>T3</x:v>
      </x:c>
      <x:c r="D148" s="24" t="n">
        <x:v>46660</x:v>
      </x:c>
      <x:c r="E148" s="13" t="str">
        <x:v>Mezzala esquerdo</x:v>
      </x:c>
      <x:c r="F148" s="13" t="str">
        <x:v>Newcastle United</x:v>
      </x:c>
      <x:c r="G148" s="16"/>
      <x:c r="H148" s="16"/>
      <x:c r="I148" s="16"/>
      <x:c r="J148" s="16"/>
      <x:c r="K148" s="16" t="str">
        <x:f>IF(COUNT(G148,I148)=0,"",AVERAGE(G148,I148))</x:f>
      </x:c>
      <x:c r="L148" s="16" t="str">
        <x:f>IF(COUNT(H148,J148)=0,"",AVERAGE(H148,J148))</x:f>
      </x:c>
      <x:c r="M148" s="16" t="str">
        <x:f>IF(OR(K148="",L148=""),"",L148-K148)</x:f>
      </x:c>
      <x:c r="N148" s="16" t="str">
        <x:f>IF(AND(A148=A147,ISNUMBER(K148),ISNUMBER(K147)),K148-K147,"")</x:f>
      </x:c>
      <x:c r="O148" s="13" t="str">
        <x:v>Sem informação</x:v>
      </x:c>
      <x:c r="P148" s="26"/>
      <x:c r="Q148" s="13"/>
      <x:c r="R148" s="13"/>
      <x:c r="S148" s="13"/>
      <x:c r="T148" s="13"/>
    </x:row>
    <x:row r="149">
      <x:c r="A149" s="13" t="str">
        <x:v>Bruno Guimarães</x:v>
      </x:c>
      <x:c r="B149" s="13" t="n">
        <x:v>2027</x:v>
      </x:c>
      <x:c r="C149" s="13" t="str">
        <x:v>T4</x:v>
      </x:c>
      <x:c r="D149" s="24" t="n">
        <x:v>46752</x:v>
      </x:c>
      <x:c r="E149" s="13" t="str">
        <x:v>Mezzala esquerdo</x:v>
      </x:c>
      <x:c r="F149" s="13" t="str">
        <x:v>Newcastle United</x:v>
      </x:c>
      <x:c r="G149" s="16"/>
      <x:c r="H149" s="16"/>
      <x:c r="I149" s="16"/>
      <x:c r="J149" s="16"/>
      <x:c r="K149" s="16" t="str">
        <x:f>IF(COUNT(G149,I149)=0,"",AVERAGE(G149,I149))</x:f>
      </x:c>
      <x:c r="L149" s="16" t="str">
        <x:f>IF(COUNT(H149,J149)=0,"",AVERAGE(H149,J149))</x:f>
      </x:c>
      <x:c r="M149" s="16" t="str">
        <x:f>IF(OR(K149="",L149=""),"",L149-K149)</x:f>
      </x:c>
      <x:c r="N149" s="16" t="str">
        <x:f>IF(AND(A149=A148,ISNUMBER(K149),ISNUMBER(K148)),K149-K148,"")</x:f>
      </x:c>
      <x:c r="O149" s="13" t="str">
        <x:v>Sem informação</x:v>
      </x:c>
      <x:c r="P149" s="26"/>
      <x:c r="Q149" s="13"/>
      <x:c r="R149" s="13"/>
      <x:c r="S149" s="13"/>
      <x:c r="T149" s="13"/>
    </x:row>
    <x:row r="150">
      <x:c r="A150" s="13" t="str">
        <x:v>Bruno Guimarães</x:v>
      </x:c>
      <x:c r="B150" s="13" t="n">
        <x:v>2028</x:v>
      </x:c>
      <x:c r="C150" s="13" t="str">
        <x:v>T1</x:v>
      </x:c>
      <x:c r="D150" s="24" t="n">
        <x:v>46843</x:v>
      </x:c>
      <x:c r="E150" s="13" t="str">
        <x:v>Mezzala esquerdo</x:v>
      </x:c>
      <x:c r="F150" s="13" t="str">
        <x:v>Newcastle United</x:v>
      </x:c>
      <x:c r="G150" s="16"/>
      <x:c r="H150" s="16"/>
      <x:c r="I150" s="16"/>
      <x:c r="J150" s="16"/>
      <x:c r="K150" s="16" t="str">
        <x:f>IF(COUNT(G150,I150)=0,"",AVERAGE(G150,I150))</x:f>
      </x:c>
      <x:c r="L150" s="16" t="str">
        <x:f>IF(COUNT(H150,J150)=0,"",AVERAGE(H150,J150))</x:f>
      </x:c>
      <x:c r="M150" s="16" t="str">
        <x:f>IF(OR(K150="",L150=""),"",L150-K150)</x:f>
      </x:c>
      <x:c r="N150" s="16" t="str">
        <x:f>IF(AND(A150=A149,ISNUMBER(K150),ISNUMBER(K149)),K150-K149,"")</x:f>
      </x:c>
      <x:c r="O150" s="13" t="str">
        <x:v>Sem informação</x:v>
      </x:c>
      <x:c r="P150" s="26"/>
      <x:c r="Q150" s="13"/>
      <x:c r="R150" s="13"/>
      <x:c r="S150" s="13"/>
      <x:c r="T150" s="13"/>
    </x:row>
    <x:row r="151">
      <x:c r="A151" s="13" t="str">
        <x:v>Bruno Guimarães</x:v>
      </x:c>
      <x:c r="B151" s="13" t="n">
        <x:v>2028</x:v>
      </x:c>
      <x:c r="C151" s="13" t="str">
        <x:v>T2</x:v>
      </x:c>
      <x:c r="D151" s="24" t="n">
        <x:v>46934</x:v>
      </x:c>
      <x:c r="E151" s="13" t="str">
        <x:v>Mezzala esquerdo</x:v>
      </x:c>
      <x:c r="F151" s="13" t="str">
        <x:v>Newcastle United</x:v>
      </x:c>
      <x:c r="G151" s="16"/>
      <x:c r="H151" s="16"/>
      <x:c r="I151" s="16"/>
      <x:c r="J151" s="16"/>
      <x:c r="K151" s="16" t="str">
        <x:f>IF(COUNT(G151,I151)=0,"",AVERAGE(G151,I151))</x:f>
      </x:c>
      <x:c r="L151" s="16" t="str">
        <x:f>IF(COUNT(H151,J151)=0,"",AVERAGE(H151,J151))</x:f>
      </x:c>
      <x:c r="M151" s="16" t="str">
        <x:f>IF(OR(K151="",L151=""),"",L151-K151)</x:f>
      </x:c>
      <x:c r="N151" s="16" t="str">
        <x:f>IF(AND(A151=A150,ISNUMBER(K151),ISNUMBER(K150)),K151-K150,"")</x:f>
      </x:c>
      <x:c r="O151" s="13" t="str">
        <x:v>Sem informação</x:v>
      </x:c>
      <x:c r="P151" s="26"/>
      <x:c r="Q151" s="13"/>
      <x:c r="R151" s="13"/>
      <x:c r="S151" s="13"/>
      <x:c r="T151" s="13"/>
    </x:row>
    <x:row r="152">
      <x:c r="A152" s="13" t="str">
        <x:v>Bruno Guimarães</x:v>
      </x:c>
      <x:c r="B152" s="13" t="n">
        <x:v>2028</x:v>
      </x:c>
      <x:c r="C152" s="13" t="str">
        <x:v>T3</x:v>
      </x:c>
      <x:c r="D152" s="24" t="n">
        <x:v>47026</x:v>
      </x:c>
      <x:c r="E152" s="13" t="str">
        <x:v>Mezzala esquerdo</x:v>
      </x:c>
      <x:c r="F152" s="13" t="str">
        <x:v>Newcastle United</x:v>
      </x:c>
      <x:c r="G152" s="16"/>
      <x:c r="H152" s="16"/>
      <x:c r="I152" s="16"/>
      <x:c r="J152" s="16"/>
      <x:c r="K152" s="16" t="str">
        <x:f>IF(COUNT(G152,I152)=0,"",AVERAGE(G152,I152))</x:f>
      </x:c>
      <x:c r="L152" s="16" t="str">
        <x:f>IF(COUNT(H152,J152)=0,"",AVERAGE(H152,J152))</x:f>
      </x:c>
      <x:c r="M152" s="16" t="str">
        <x:f>IF(OR(K152="",L152=""),"",L152-K152)</x:f>
      </x:c>
      <x:c r="N152" s="16" t="str">
        <x:f>IF(AND(A152=A151,ISNUMBER(K152),ISNUMBER(K151)),K152-K151,"")</x:f>
      </x:c>
      <x:c r="O152" s="13" t="str">
        <x:v>Sem informação</x:v>
      </x:c>
      <x:c r="P152" s="26"/>
      <x:c r="Q152" s="13"/>
      <x:c r="R152" s="13"/>
      <x:c r="S152" s="13"/>
      <x:c r="T152" s="13"/>
    </x:row>
    <x:row r="153">
      <x:c r="A153" s="13" t="str">
        <x:v>Bruno Guimarães</x:v>
      </x:c>
      <x:c r="B153" s="13" t="n">
        <x:v>2028</x:v>
      </x:c>
      <x:c r="C153" s="13" t="str">
        <x:v>T4</x:v>
      </x:c>
      <x:c r="D153" s="24" t="n">
        <x:v>47118</x:v>
      </x:c>
      <x:c r="E153" s="13" t="str">
        <x:v>Mezzala esquerdo</x:v>
      </x:c>
      <x:c r="F153" s="13" t="str">
        <x:v>Newcastle United</x:v>
      </x:c>
      <x:c r="G153" s="16"/>
      <x:c r="H153" s="16"/>
      <x:c r="I153" s="16"/>
      <x:c r="J153" s="16"/>
      <x:c r="K153" s="16" t="str">
        <x:f>IF(COUNT(G153,I153)=0,"",AVERAGE(G153,I153))</x:f>
      </x:c>
      <x:c r="L153" s="16" t="str">
        <x:f>IF(COUNT(H153,J153)=0,"",AVERAGE(H153,J153))</x:f>
      </x:c>
      <x:c r="M153" s="16" t="str">
        <x:f>IF(OR(K153="",L153=""),"",L153-K153)</x:f>
      </x:c>
      <x:c r="N153" s="16" t="str">
        <x:f>IF(AND(A153=A152,ISNUMBER(K153),ISNUMBER(K152)),K153-K152,"")</x:f>
      </x:c>
      <x:c r="O153" s="13" t="str">
        <x:v>Sem informação</x:v>
      </x:c>
      <x:c r="P153" s="26"/>
      <x:c r="Q153" s="13"/>
      <x:c r="R153" s="13"/>
      <x:c r="S153" s="13"/>
      <x:c r="T153" s="13"/>
    </x:row>
    <x:row r="154">
      <x:c r="A154" s="13" t="str">
        <x:v>Bruno Guimarães</x:v>
      </x:c>
      <x:c r="B154" s="13" t="n">
        <x:v>2029</x:v>
      </x:c>
      <x:c r="C154" s="13" t="str">
        <x:v>T1</x:v>
      </x:c>
      <x:c r="D154" s="24" t="n">
        <x:v>47208</x:v>
      </x:c>
      <x:c r="E154" s="13" t="str">
        <x:v>Mezzala esquerdo</x:v>
      </x:c>
      <x:c r="F154" s="13" t="str">
        <x:v>Newcastle United</x:v>
      </x:c>
      <x:c r="G154" s="16"/>
      <x:c r="H154" s="16"/>
      <x:c r="I154" s="16"/>
      <x:c r="J154" s="16"/>
      <x:c r="K154" s="16" t="str">
        <x:f>IF(COUNT(G154,I154)=0,"",AVERAGE(G154,I154))</x:f>
      </x:c>
      <x:c r="L154" s="16" t="str">
        <x:f>IF(COUNT(H154,J154)=0,"",AVERAGE(H154,J154))</x:f>
      </x:c>
      <x:c r="M154" s="16" t="str">
        <x:f>IF(OR(K154="",L154=""),"",L154-K154)</x:f>
      </x:c>
      <x:c r="N154" s="16" t="str">
        <x:f>IF(AND(A154=A153,ISNUMBER(K154),ISNUMBER(K153)),K154-K153,"")</x:f>
      </x:c>
      <x:c r="O154" s="13" t="str">
        <x:v>Sem informação</x:v>
      </x:c>
      <x:c r="P154" s="26"/>
      <x:c r="Q154" s="13"/>
      <x:c r="R154" s="13"/>
      <x:c r="S154" s="13"/>
      <x:c r="T154" s="13"/>
    </x:row>
    <x:row r="155">
      <x:c r="A155" s="13" t="str">
        <x:v>Bruno Guimarães</x:v>
      </x:c>
      <x:c r="B155" s="13" t="n">
        <x:v>2029</x:v>
      </x:c>
      <x:c r="C155" s="13" t="str">
        <x:v>T2</x:v>
      </x:c>
      <x:c r="D155" s="24" t="n">
        <x:v>47299</x:v>
      </x:c>
      <x:c r="E155" s="13" t="str">
        <x:v>Mezzala esquerdo</x:v>
      </x:c>
      <x:c r="F155" s="13" t="str">
        <x:v>Newcastle United</x:v>
      </x:c>
      <x:c r="G155" s="16"/>
      <x:c r="H155" s="16"/>
      <x:c r="I155" s="16"/>
      <x:c r="J155" s="16"/>
      <x:c r="K155" s="16" t="str">
        <x:f>IF(COUNT(G155,I155)=0,"",AVERAGE(G155,I155))</x:f>
      </x:c>
      <x:c r="L155" s="16" t="str">
        <x:f>IF(COUNT(H155,J155)=0,"",AVERAGE(H155,J155))</x:f>
      </x:c>
      <x:c r="M155" s="16" t="str">
        <x:f>IF(OR(K155="",L155=""),"",L155-K155)</x:f>
      </x:c>
      <x:c r="N155" s="16" t="str">
        <x:f>IF(AND(A155=A154,ISNUMBER(K155),ISNUMBER(K154)),K155-K154,"")</x:f>
      </x:c>
      <x:c r="O155" s="13" t="str">
        <x:v>Sem informação</x:v>
      </x:c>
      <x:c r="P155" s="26"/>
      <x:c r="Q155" s="13"/>
      <x:c r="R155" s="13"/>
      <x:c r="S155" s="13"/>
      <x:c r="T155" s="13"/>
    </x:row>
    <x:row r="156">
      <x:c r="A156" s="13" t="str">
        <x:v>Bruno Guimarães</x:v>
      </x:c>
      <x:c r="B156" s="13" t="n">
        <x:v>2029</x:v>
      </x:c>
      <x:c r="C156" s="13" t="str">
        <x:v>T3</x:v>
      </x:c>
      <x:c r="D156" s="24" t="n">
        <x:v>47391</x:v>
      </x:c>
      <x:c r="E156" s="13" t="str">
        <x:v>Mezzala esquerdo</x:v>
      </x:c>
      <x:c r="F156" s="13" t="str">
        <x:v>Newcastle United</x:v>
      </x:c>
      <x:c r="G156" s="16"/>
      <x:c r="H156" s="16"/>
      <x:c r="I156" s="16"/>
      <x:c r="J156" s="16"/>
      <x:c r="K156" s="16" t="str">
        <x:f>IF(COUNT(G156,I156)=0,"",AVERAGE(G156,I156))</x:f>
      </x:c>
      <x:c r="L156" s="16" t="str">
        <x:f>IF(COUNT(H156,J156)=0,"",AVERAGE(H156,J156))</x:f>
      </x:c>
      <x:c r="M156" s="16" t="str">
        <x:f>IF(OR(K156="",L156=""),"",L156-K156)</x:f>
      </x:c>
      <x:c r="N156" s="16" t="str">
        <x:f>IF(AND(A156=A155,ISNUMBER(K156),ISNUMBER(K155)),K156-K155,"")</x:f>
      </x:c>
      <x:c r="O156" s="13" t="str">
        <x:v>Sem informação</x:v>
      </x:c>
      <x:c r="P156" s="26"/>
      <x:c r="Q156" s="13"/>
      <x:c r="R156" s="13"/>
      <x:c r="S156" s="13"/>
      <x:c r="T156" s="13"/>
    </x:row>
    <x:row r="157">
      <x:c r="A157" s="13" t="str">
        <x:v>Bruno Guimarães</x:v>
      </x:c>
      <x:c r="B157" s="13" t="n">
        <x:v>2029</x:v>
      </x:c>
      <x:c r="C157" s="13" t="str">
        <x:v>T4</x:v>
      </x:c>
      <x:c r="D157" s="24" t="n">
        <x:v>47483</x:v>
      </x:c>
      <x:c r="E157" s="13" t="str">
        <x:v>Mezzala esquerdo</x:v>
      </x:c>
      <x:c r="F157" s="13" t="str">
        <x:v>Newcastle United</x:v>
      </x:c>
      <x:c r="G157" s="16"/>
      <x:c r="H157" s="16"/>
      <x:c r="I157" s="16"/>
      <x:c r="J157" s="16"/>
      <x:c r="K157" s="16" t="str">
        <x:f>IF(COUNT(G157,I157)=0,"",AVERAGE(G157,I157))</x:f>
      </x:c>
      <x:c r="L157" s="16" t="str">
        <x:f>IF(COUNT(H157,J157)=0,"",AVERAGE(H157,J157))</x:f>
      </x:c>
      <x:c r="M157" s="16" t="str">
        <x:f>IF(OR(K157="",L157=""),"",L157-K157)</x:f>
      </x:c>
      <x:c r="N157" s="16" t="str">
        <x:f>IF(AND(A157=A156,ISNUMBER(K157),ISNUMBER(K156)),K157-K156,"")</x:f>
      </x:c>
      <x:c r="O157" s="13" t="str">
        <x:v>Sem informação</x:v>
      </x:c>
      <x:c r="P157" s="26"/>
      <x:c r="Q157" s="13"/>
      <x:c r="R157" s="13"/>
      <x:c r="S157" s="13"/>
      <x:c r="T157" s="13"/>
    </x:row>
    <x:row r="158">
      <x:c r="A158" s="13" t="str">
        <x:v>Bruno Guimarães</x:v>
      </x:c>
      <x:c r="B158" s="13" t="n">
        <x:v>2030</x:v>
      </x:c>
      <x:c r="C158" s="13" t="str">
        <x:v>T1</x:v>
      </x:c>
      <x:c r="D158" s="24" t="n">
        <x:v>47573</x:v>
      </x:c>
      <x:c r="E158" s="13" t="str">
        <x:v>Mezzala esquerdo</x:v>
      </x:c>
      <x:c r="F158" s="13" t="str">
        <x:v>Newcastle United</x:v>
      </x:c>
      <x:c r="G158" s="16"/>
      <x:c r="H158" s="16"/>
      <x:c r="I158" s="16"/>
      <x:c r="J158" s="16"/>
      <x:c r="K158" s="16" t="str">
        <x:f>IF(COUNT(G158,I158)=0,"",AVERAGE(G158,I158))</x:f>
      </x:c>
      <x:c r="L158" s="16" t="str">
        <x:f>IF(COUNT(H158,J158)=0,"",AVERAGE(H158,J158))</x:f>
      </x:c>
      <x:c r="M158" s="16" t="str">
        <x:f>IF(OR(K158="",L158=""),"",L158-K158)</x:f>
      </x:c>
      <x:c r="N158" s="16" t="str">
        <x:f>IF(AND(A158=A157,ISNUMBER(K158),ISNUMBER(K157)),K158-K157,"")</x:f>
      </x:c>
      <x:c r="O158" s="13" t="str">
        <x:v>Sem informação</x:v>
      </x:c>
      <x:c r="P158" s="26"/>
      <x:c r="Q158" s="13"/>
      <x:c r="R158" s="13"/>
      <x:c r="S158" s="13"/>
      <x:c r="T158" s="13"/>
    </x:row>
    <x:row r="159">
      <x:c r="A159" s="13" t="str">
        <x:v>Bruno Guimarães</x:v>
      </x:c>
      <x:c r="B159" s="13" t="n">
        <x:v>2030</x:v>
      </x:c>
      <x:c r="C159" s="13" t="str">
        <x:v>T2</x:v>
      </x:c>
      <x:c r="D159" s="24" t="n">
        <x:v>47664</x:v>
      </x:c>
      <x:c r="E159" s="13" t="str">
        <x:v>Mezzala esquerdo</x:v>
      </x:c>
      <x:c r="F159" s="13" t="str">
        <x:v>Newcastle United</x:v>
      </x:c>
      <x:c r="G159" s="16"/>
      <x:c r="H159" s="16"/>
      <x:c r="I159" s="16"/>
      <x:c r="J159" s="16"/>
      <x:c r="K159" s="16" t="str">
        <x:f>IF(COUNT(G159,I159)=0,"",AVERAGE(G159,I159))</x:f>
      </x:c>
      <x:c r="L159" s="16" t="str">
        <x:f>IF(COUNT(H159,J159)=0,"",AVERAGE(H159,J159))</x:f>
      </x:c>
      <x:c r="M159" s="16" t="str">
        <x:f>IF(OR(K159="",L159=""),"",L159-K159)</x:f>
      </x:c>
      <x:c r="N159" s="16" t="str">
        <x:f>IF(AND(A159=A158,ISNUMBER(K159),ISNUMBER(K158)),K159-K158,"")</x:f>
      </x:c>
      <x:c r="O159" s="13" t="str">
        <x:v>Sem informação</x:v>
      </x:c>
      <x:c r="P159" s="26"/>
      <x:c r="Q159" s="13"/>
      <x:c r="R159" s="13"/>
      <x:c r="S159" s="13"/>
      <x:c r="T159" s="13"/>
    </x:row>
    <x:row r="160">
      <x:c r="A160" s="13" t="str">
        <x:v>Bruno Guimarães</x:v>
      </x:c>
      <x:c r="B160" s="13" t="n">
        <x:v>2030</x:v>
      </x:c>
      <x:c r="C160" s="13" t="str">
        <x:v>T3</x:v>
      </x:c>
      <x:c r="D160" s="24" t="n">
        <x:v>47756</x:v>
      </x:c>
      <x:c r="E160" s="13" t="str">
        <x:v>Mezzala esquerdo</x:v>
      </x:c>
      <x:c r="F160" s="13" t="str">
        <x:v>Newcastle United</x:v>
      </x:c>
      <x:c r="G160" s="16"/>
      <x:c r="H160" s="16"/>
      <x:c r="I160" s="16"/>
      <x:c r="J160" s="16"/>
      <x:c r="K160" s="16" t="str">
        <x:f>IF(COUNT(G160,I160)=0,"",AVERAGE(G160,I160))</x:f>
      </x:c>
      <x:c r="L160" s="16" t="str">
        <x:f>IF(COUNT(H160,J160)=0,"",AVERAGE(H160,J160))</x:f>
      </x:c>
      <x:c r="M160" s="16" t="str">
        <x:f>IF(OR(K160="",L160=""),"",L160-K160)</x:f>
      </x:c>
      <x:c r="N160" s="16" t="str">
        <x:f>IF(AND(A160=A159,ISNUMBER(K160),ISNUMBER(K159)),K160-K159,"")</x:f>
      </x:c>
      <x:c r="O160" s="13" t="str">
        <x:v>Sem informação</x:v>
      </x:c>
      <x:c r="P160" s="26"/>
      <x:c r="Q160" s="13"/>
      <x:c r="R160" s="13"/>
      <x:c r="S160" s="13"/>
      <x:c r="T160" s="13"/>
    </x:row>
    <x:row r="161">
      <x:c r="A161" s="13" t="str">
        <x:v>Bruno Guimarães</x:v>
      </x:c>
      <x:c r="B161" s="13" t="n">
        <x:v>2030</x:v>
      </x:c>
      <x:c r="C161" s="13" t="str">
        <x:v>T4</x:v>
      </x:c>
      <x:c r="D161" s="24" t="n">
        <x:v>47848</x:v>
      </x:c>
      <x:c r="E161" s="13" t="str">
        <x:v>Mezzala esquerdo</x:v>
      </x:c>
      <x:c r="F161" s="13" t="str">
        <x:v>Newcastle United</x:v>
      </x:c>
      <x:c r="G161" s="16"/>
      <x:c r="H161" s="16"/>
      <x:c r="I161" s="16"/>
      <x:c r="J161" s="16"/>
      <x:c r="K161" s="16" t="str">
        <x:f>IF(COUNT(G161,I161)=0,"",AVERAGE(G161,I161))</x:f>
      </x:c>
      <x:c r="L161" s="16" t="str">
        <x:f>IF(COUNT(H161,J161)=0,"",AVERAGE(H161,J161))</x:f>
      </x:c>
      <x:c r="M161" s="16" t="str">
        <x:f>IF(OR(K161="",L161=""),"",L161-K161)</x:f>
      </x:c>
      <x:c r="N161" s="16" t="str">
        <x:f>IF(AND(A161=A160,ISNUMBER(K161),ISNUMBER(K160)),K161-K160,"")</x:f>
      </x:c>
      <x:c r="O161" s="13" t="str">
        <x:v>Sem informação</x:v>
      </x:c>
      <x:c r="P161" s="26"/>
      <x:c r="Q161" s="13"/>
      <x:c r="R161" s="13"/>
      <x:c r="S161" s="13"/>
      <x:c r="T161" s="13"/>
    </x:row>
    <x:row r="162">
      <x:c r="A162" s="13" t="str">
        <x:v>Carlos Miguel</x:v>
      </x:c>
      <x:c r="B162" s="13" t="n">
        <x:v>2026</x:v>
      </x:c>
      <x:c r="C162" s="13" t="str">
        <x:v>T1</x:v>
      </x:c>
      <x:c r="D162" s="24" t="n">
        <x:v>46112</x:v>
      </x:c>
      <x:c r="E162" s="13" t="str">
        <x:v>Goleiro</x:v>
      </x:c>
      <x:c r="F162" s="13" t="str">
        <x:v>SE Palmeiras</x:v>
      </x:c>
      <x:c r="G162" s="16"/>
      <x:c r="H162" s="16"/>
      <x:c r="I162" s="16"/>
      <x:c r="J162" s="16"/>
      <x:c r="K162" s="16" t="str">
        <x:f>IF(COUNT(G162,I162)=0,"",AVERAGE(G162,I162))</x:f>
      </x:c>
      <x:c r="L162" s="16" t="str">
        <x:f>IF(COUNT(H162,J162)=0,"",AVERAGE(H162,J162))</x:f>
      </x:c>
      <x:c r="M162" s="16" t="str">
        <x:f>IF(OR(K162="",L162=""),"",L162-K162)</x:f>
      </x:c>
      <x:c r="N162" s="16" t="str">
        <x:f>IF(AND(A162=A161,ISNUMBER(K162),ISNUMBER(K161)),K162-K161,"")</x:f>
      </x:c>
      <x:c r="O162" s="13" t="str">
        <x:v>Sem informação</x:v>
      </x:c>
      <x:c r="P162" s="26"/>
      <x:c r="Q162" s="13"/>
      <x:c r="R162" s="13"/>
      <x:c r="S162" s="13"/>
      <x:c r="T162" s="13"/>
    </x:row>
    <x:row r="163">
      <x:c r="A163" s="13" t="str">
        <x:v>Carlos Miguel</x:v>
      </x:c>
      <x:c r="B163" s="13" t="n">
        <x:v>2026</x:v>
      </x:c>
      <x:c r="C163" s="13" t="str">
        <x:v>T2</x:v>
      </x:c>
      <x:c r="D163" s="24" t="n">
        <x:v>46203</x:v>
      </x:c>
      <x:c r="E163" s="13" t="str">
        <x:v>Goleiro</x:v>
      </x:c>
      <x:c r="F163" s="13" t="str">
        <x:v>SE Palmeiras</x:v>
      </x:c>
      <x:c r="G163" s="16"/>
      <x:c r="H163" s="16"/>
      <x:c r="I163" s="16"/>
      <x:c r="J163" s="16"/>
      <x:c r="K163" s="16" t="str">
        <x:f>IF(COUNT(G163,I163)=0,"",AVERAGE(G163,I163))</x:f>
      </x:c>
      <x:c r="L163" s="16" t="str">
        <x:f>IF(COUNT(H163,J163)=0,"",AVERAGE(H163,J163))</x:f>
      </x:c>
      <x:c r="M163" s="16" t="str">
        <x:f>IF(OR(K163="",L163=""),"",L163-K163)</x:f>
      </x:c>
      <x:c r="N163" s="16" t="str">
        <x:f>IF(AND(A163=A162,ISNUMBER(K163),ISNUMBER(K162)),K163-K162,"")</x:f>
      </x:c>
      <x:c r="O163" s="13" t="str">
        <x:v>Sem informação</x:v>
      </x:c>
      <x:c r="P163" s="26"/>
      <x:c r="Q163" s="13"/>
      <x:c r="R163" s="13"/>
      <x:c r="S163" s="13"/>
      <x:c r="T163" s="13"/>
    </x:row>
    <x:row r="164">
      <x:c r="A164" s="13" t="str">
        <x:v>Carlos Miguel</x:v>
      </x:c>
      <x:c r="B164" s="13" t="n">
        <x:v>2026</x:v>
      </x:c>
      <x:c r="C164" s="13" t="str">
        <x:v>T3</x:v>
      </x:c>
      <x:c r="D164" s="24" t="n">
        <x:v>46295</x:v>
      </x:c>
      <x:c r="E164" s="13" t="str">
        <x:v>Goleiro</x:v>
      </x:c>
      <x:c r="F164" s="13" t="str">
        <x:v>SE Palmeiras</x:v>
      </x:c>
      <x:c r="G164" s="16"/>
      <x:c r="H164" s="16"/>
      <x:c r="I164" s="16"/>
      <x:c r="J164" s="16"/>
      <x:c r="K164" s="16" t="str">
        <x:f>IF(COUNT(G164,I164)=0,"",AVERAGE(G164,I164))</x:f>
      </x:c>
      <x:c r="L164" s="16" t="str">
        <x:f>IF(COUNT(H164,J164)=0,"",AVERAGE(H164,J164))</x:f>
      </x:c>
      <x:c r="M164" s="16" t="str">
        <x:f>IF(OR(K164="",L164=""),"",L164-K164)</x:f>
      </x:c>
      <x:c r="N164" s="16" t="str">
        <x:f>IF(AND(A164=A163,ISNUMBER(K164),ISNUMBER(K163)),K164-K163,"")</x:f>
      </x:c>
      <x:c r="O164" s="13" t="str">
        <x:v>Sem informação</x:v>
      </x:c>
      <x:c r="P164" s="26"/>
      <x:c r="Q164" s="13"/>
      <x:c r="R164" s="13"/>
      <x:c r="S164" s="13"/>
      <x:c r="T164" s="13"/>
    </x:row>
    <x:row r="165">
      <x:c r="A165" s="13" t="str">
        <x:v>Carlos Miguel</x:v>
      </x:c>
      <x:c r="B165" s="13" t="n">
        <x:v>2026</x:v>
      </x:c>
      <x:c r="C165" s="13" t="str">
        <x:v>T4</x:v>
      </x:c>
      <x:c r="D165" s="24" t="n">
        <x:v>46387</x:v>
      </x:c>
      <x:c r="E165" s="13" t="str">
        <x:v>Goleiro</x:v>
      </x:c>
      <x:c r="F165" s="13" t="str">
        <x:v>SE Palmeiras</x:v>
      </x:c>
      <x:c r="G165" s="16"/>
      <x:c r="H165" s="16"/>
      <x:c r="I165" s="16"/>
      <x:c r="J165" s="16"/>
      <x:c r="K165" s="16" t="str">
        <x:f>IF(COUNT(G165,I165)=0,"",AVERAGE(G165,I165))</x:f>
      </x:c>
      <x:c r="L165" s="16" t="str">
        <x:f>IF(COUNT(H165,J165)=0,"",AVERAGE(H165,J165))</x:f>
      </x:c>
      <x:c r="M165" s="16" t="str">
        <x:f>IF(OR(K165="",L165=""),"",L165-K165)</x:f>
      </x:c>
      <x:c r="N165" s="16" t="str">
        <x:f>IF(AND(A165=A164,ISNUMBER(K165),ISNUMBER(K164)),K165-K164,"")</x:f>
      </x:c>
      <x:c r="O165" s="13" t="str">
        <x:v>Sem informação</x:v>
      </x:c>
      <x:c r="P165" s="26"/>
      <x:c r="Q165" s="13"/>
      <x:c r="R165" s="13"/>
      <x:c r="S165" s="13"/>
      <x:c r="T165" s="13"/>
    </x:row>
    <x:row r="166">
      <x:c r="A166" s="13" t="str">
        <x:v>Carlos Miguel</x:v>
      </x:c>
      <x:c r="B166" s="13" t="n">
        <x:v>2027</x:v>
      </x:c>
      <x:c r="C166" s="13" t="str">
        <x:v>T1</x:v>
      </x:c>
      <x:c r="D166" s="24" t="n">
        <x:v>46477</x:v>
      </x:c>
      <x:c r="E166" s="13" t="str">
        <x:v>Goleiro</x:v>
      </x:c>
      <x:c r="F166" s="13" t="str">
        <x:v>SE Palmeiras</x:v>
      </x:c>
      <x:c r="G166" s="16"/>
      <x:c r="H166" s="16"/>
      <x:c r="I166" s="16"/>
      <x:c r="J166" s="16"/>
      <x:c r="K166" s="16" t="str">
        <x:f>IF(COUNT(G166,I166)=0,"",AVERAGE(G166,I166))</x:f>
      </x:c>
      <x:c r="L166" s="16" t="str">
        <x:f>IF(COUNT(H166,J166)=0,"",AVERAGE(H166,J166))</x:f>
      </x:c>
      <x:c r="M166" s="16" t="str">
        <x:f>IF(OR(K166="",L166=""),"",L166-K166)</x:f>
      </x:c>
      <x:c r="N166" s="16" t="str">
        <x:f>IF(AND(A166=A165,ISNUMBER(K166),ISNUMBER(K165)),K166-K165,"")</x:f>
      </x:c>
      <x:c r="O166" s="13" t="str">
        <x:v>Sem informação</x:v>
      </x:c>
      <x:c r="P166" s="26"/>
      <x:c r="Q166" s="13"/>
      <x:c r="R166" s="13"/>
      <x:c r="S166" s="13"/>
      <x:c r="T166" s="13"/>
    </x:row>
    <x:row r="167">
      <x:c r="A167" s="13" t="str">
        <x:v>Carlos Miguel</x:v>
      </x:c>
      <x:c r="B167" s="13" t="n">
        <x:v>2027</x:v>
      </x:c>
      <x:c r="C167" s="13" t="str">
        <x:v>T2</x:v>
      </x:c>
      <x:c r="D167" s="24" t="n">
        <x:v>46568</x:v>
      </x:c>
      <x:c r="E167" s="13" t="str">
        <x:v>Goleiro</x:v>
      </x:c>
      <x:c r="F167" s="13" t="str">
        <x:v>SE Palmeiras</x:v>
      </x:c>
      <x:c r="G167" s="16"/>
      <x:c r="H167" s="16"/>
      <x:c r="I167" s="16"/>
      <x:c r="J167" s="16"/>
      <x:c r="K167" s="16" t="str">
        <x:f>IF(COUNT(G167,I167)=0,"",AVERAGE(G167,I167))</x:f>
      </x:c>
      <x:c r="L167" s="16" t="str">
        <x:f>IF(COUNT(H167,J167)=0,"",AVERAGE(H167,J167))</x:f>
      </x:c>
      <x:c r="M167" s="16" t="str">
        <x:f>IF(OR(K167="",L167=""),"",L167-K167)</x:f>
      </x:c>
      <x:c r="N167" s="16" t="str">
        <x:f>IF(AND(A167=A166,ISNUMBER(K167),ISNUMBER(K166)),K167-K166,"")</x:f>
      </x:c>
      <x:c r="O167" s="13" t="str">
        <x:v>Sem informação</x:v>
      </x:c>
      <x:c r="P167" s="26"/>
      <x:c r="Q167" s="13"/>
      <x:c r="R167" s="13"/>
      <x:c r="S167" s="13"/>
      <x:c r="T167" s="13"/>
    </x:row>
    <x:row r="168">
      <x:c r="A168" s="13" t="str">
        <x:v>Carlos Miguel</x:v>
      </x:c>
      <x:c r="B168" s="13" t="n">
        <x:v>2027</x:v>
      </x:c>
      <x:c r="C168" s="13" t="str">
        <x:v>T3</x:v>
      </x:c>
      <x:c r="D168" s="24" t="n">
        <x:v>46660</x:v>
      </x:c>
      <x:c r="E168" s="13" t="str">
        <x:v>Goleiro</x:v>
      </x:c>
      <x:c r="F168" s="13" t="str">
        <x:v>SE Palmeiras</x:v>
      </x:c>
      <x:c r="G168" s="16"/>
      <x:c r="H168" s="16"/>
      <x:c r="I168" s="16"/>
      <x:c r="J168" s="16"/>
      <x:c r="K168" s="16" t="str">
        <x:f>IF(COUNT(G168,I168)=0,"",AVERAGE(G168,I168))</x:f>
      </x:c>
      <x:c r="L168" s="16" t="str">
        <x:f>IF(COUNT(H168,J168)=0,"",AVERAGE(H168,J168))</x:f>
      </x:c>
      <x:c r="M168" s="16" t="str">
        <x:f>IF(OR(K168="",L168=""),"",L168-K168)</x:f>
      </x:c>
      <x:c r="N168" s="16" t="str">
        <x:f>IF(AND(A168=A167,ISNUMBER(K168),ISNUMBER(K167)),K168-K167,"")</x:f>
      </x:c>
      <x:c r="O168" s="13" t="str">
        <x:v>Sem informação</x:v>
      </x:c>
      <x:c r="P168" s="26"/>
      <x:c r="Q168" s="13"/>
      <x:c r="R168" s="13"/>
      <x:c r="S168" s="13"/>
      <x:c r="T168" s="13"/>
    </x:row>
    <x:row r="169">
      <x:c r="A169" s="13" t="str">
        <x:v>Carlos Miguel</x:v>
      </x:c>
      <x:c r="B169" s="13" t="n">
        <x:v>2027</x:v>
      </x:c>
      <x:c r="C169" s="13" t="str">
        <x:v>T4</x:v>
      </x:c>
      <x:c r="D169" s="24" t="n">
        <x:v>46752</x:v>
      </x:c>
      <x:c r="E169" s="13" t="str">
        <x:v>Goleiro</x:v>
      </x:c>
      <x:c r="F169" s="13" t="str">
        <x:v>SE Palmeiras</x:v>
      </x:c>
      <x:c r="G169" s="16"/>
      <x:c r="H169" s="16"/>
      <x:c r="I169" s="16"/>
      <x:c r="J169" s="16"/>
      <x:c r="K169" s="16" t="str">
        <x:f>IF(COUNT(G169,I169)=0,"",AVERAGE(G169,I169))</x:f>
      </x:c>
      <x:c r="L169" s="16" t="str">
        <x:f>IF(COUNT(H169,J169)=0,"",AVERAGE(H169,J169))</x:f>
      </x:c>
      <x:c r="M169" s="16" t="str">
        <x:f>IF(OR(K169="",L169=""),"",L169-K169)</x:f>
      </x:c>
      <x:c r="N169" s="16" t="str">
        <x:f>IF(AND(A169=A168,ISNUMBER(K169),ISNUMBER(K168)),K169-K168,"")</x:f>
      </x:c>
      <x:c r="O169" s="13" t="str">
        <x:v>Sem informação</x:v>
      </x:c>
      <x:c r="P169" s="26"/>
      <x:c r="Q169" s="13"/>
      <x:c r="R169" s="13"/>
      <x:c r="S169" s="13"/>
      <x:c r="T169" s="13"/>
    </x:row>
    <x:row r="170">
      <x:c r="A170" s="13" t="str">
        <x:v>Carlos Miguel</x:v>
      </x:c>
      <x:c r="B170" s="13" t="n">
        <x:v>2028</x:v>
      </x:c>
      <x:c r="C170" s="13" t="str">
        <x:v>T1</x:v>
      </x:c>
      <x:c r="D170" s="24" t="n">
        <x:v>46843</x:v>
      </x:c>
      <x:c r="E170" s="13" t="str">
        <x:v>Goleiro</x:v>
      </x:c>
      <x:c r="F170" s="13" t="str">
        <x:v>SE Palmeiras</x:v>
      </x:c>
      <x:c r="G170" s="16"/>
      <x:c r="H170" s="16"/>
      <x:c r="I170" s="16"/>
      <x:c r="J170" s="16"/>
      <x:c r="K170" s="16" t="str">
        <x:f>IF(COUNT(G170,I170)=0,"",AVERAGE(G170,I170))</x:f>
      </x:c>
      <x:c r="L170" s="16" t="str">
        <x:f>IF(COUNT(H170,J170)=0,"",AVERAGE(H170,J170))</x:f>
      </x:c>
      <x:c r="M170" s="16" t="str">
        <x:f>IF(OR(K170="",L170=""),"",L170-K170)</x:f>
      </x:c>
      <x:c r="N170" s="16" t="str">
        <x:f>IF(AND(A170=A169,ISNUMBER(K170),ISNUMBER(K169)),K170-K169,"")</x:f>
      </x:c>
      <x:c r="O170" s="13" t="str">
        <x:v>Sem informação</x:v>
      </x:c>
      <x:c r="P170" s="26"/>
      <x:c r="Q170" s="13"/>
      <x:c r="R170" s="13"/>
      <x:c r="S170" s="13"/>
      <x:c r="T170" s="13"/>
    </x:row>
    <x:row r="171">
      <x:c r="A171" s="13" t="str">
        <x:v>Carlos Miguel</x:v>
      </x:c>
      <x:c r="B171" s="13" t="n">
        <x:v>2028</x:v>
      </x:c>
      <x:c r="C171" s="13" t="str">
        <x:v>T2</x:v>
      </x:c>
      <x:c r="D171" s="24" t="n">
        <x:v>46934</x:v>
      </x:c>
      <x:c r="E171" s="13" t="str">
        <x:v>Goleiro</x:v>
      </x:c>
      <x:c r="F171" s="13" t="str">
        <x:v>SE Palmeiras</x:v>
      </x:c>
      <x:c r="G171" s="16"/>
      <x:c r="H171" s="16"/>
      <x:c r="I171" s="16"/>
      <x:c r="J171" s="16"/>
      <x:c r="K171" s="16" t="str">
        <x:f>IF(COUNT(G171,I171)=0,"",AVERAGE(G171,I171))</x:f>
      </x:c>
      <x:c r="L171" s="16" t="str">
        <x:f>IF(COUNT(H171,J171)=0,"",AVERAGE(H171,J171))</x:f>
      </x:c>
      <x:c r="M171" s="16" t="str">
        <x:f>IF(OR(K171="",L171=""),"",L171-K171)</x:f>
      </x:c>
      <x:c r="N171" s="16" t="str">
        <x:f>IF(AND(A171=A170,ISNUMBER(K171),ISNUMBER(K170)),K171-K170,"")</x:f>
      </x:c>
      <x:c r="O171" s="13" t="str">
        <x:v>Sem informação</x:v>
      </x:c>
      <x:c r="P171" s="26"/>
      <x:c r="Q171" s="13"/>
      <x:c r="R171" s="13"/>
      <x:c r="S171" s="13"/>
      <x:c r="T171" s="13"/>
    </x:row>
    <x:row r="172">
      <x:c r="A172" s="13" t="str">
        <x:v>Carlos Miguel</x:v>
      </x:c>
      <x:c r="B172" s="13" t="n">
        <x:v>2028</x:v>
      </x:c>
      <x:c r="C172" s="13" t="str">
        <x:v>T3</x:v>
      </x:c>
      <x:c r="D172" s="24" t="n">
        <x:v>47026</x:v>
      </x:c>
      <x:c r="E172" s="13" t="str">
        <x:v>Goleiro</x:v>
      </x:c>
      <x:c r="F172" s="13" t="str">
        <x:v>SE Palmeiras</x:v>
      </x:c>
      <x:c r="G172" s="16"/>
      <x:c r="H172" s="16"/>
      <x:c r="I172" s="16"/>
      <x:c r="J172" s="16"/>
      <x:c r="K172" s="16" t="str">
        <x:f>IF(COUNT(G172,I172)=0,"",AVERAGE(G172,I172))</x:f>
      </x:c>
      <x:c r="L172" s="16" t="str">
        <x:f>IF(COUNT(H172,J172)=0,"",AVERAGE(H172,J172))</x:f>
      </x:c>
      <x:c r="M172" s="16" t="str">
        <x:f>IF(OR(K172="",L172=""),"",L172-K172)</x:f>
      </x:c>
      <x:c r="N172" s="16" t="str">
        <x:f>IF(AND(A172=A171,ISNUMBER(K172),ISNUMBER(K171)),K172-K171,"")</x:f>
      </x:c>
      <x:c r="O172" s="13" t="str">
        <x:v>Sem informação</x:v>
      </x:c>
      <x:c r="P172" s="26"/>
      <x:c r="Q172" s="13"/>
      <x:c r="R172" s="13"/>
      <x:c r="S172" s="13"/>
      <x:c r="T172" s="13"/>
    </x:row>
    <x:row r="173">
      <x:c r="A173" s="13" t="str">
        <x:v>Carlos Miguel</x:v>
      </x:c>
      <x:c r="B173" s="13" t="n">
        <x:v>2028</x:v>
      </x:c>
      <x:c r="C173" s="13" t="str">
        <x:v>T4</x:v>
      </x:c>
      <x:c r="D173" s="24" t="n">
        <x:v>47118</x:v>
      </x:c>
      <x:c r="E173" s="13" t="str">
        <x:v>Goleiro</x:v>
      </x:c>
      <x:c r="F173" s="13" t="str">
        <x:v>SE Palmeiras</x:v>
      </x:c>
      <x:c r="G173" s="16"/>
      <x:c r="H173" s="16"/>
      <x:c r="I173" s="16"/>
      <x:c r="J173" s="16"/>
      <x:c r="K173" s="16" t="str">
        <x:f>IF(COUNT(G173,I173)=0,"",AVERAGE(G173,I173))</x:f>
      </x:c>
      <x:c r="L173" s="16" t="str">
        <x:f>IF(COUNT(H173,J173)=0,"",AVERAGE(H173,J173))</x:f>
      </x:c>
      <x:c r="M173" s="16" t="str">
        <x:f>IF(OR(K173="",L173=""),"",L173-K173)</x:f>
      </x:c>
      <x:c r="N173" s="16" t="str">
        <x:f>IF(AND(A173=A172,ISNUMBER(K173),ISNUMBER(K172)),K173-K172,"")</x:f>
      </x:c>
      <x:c r="O173" s="13" t="str">
        <x:v>Sem informação</x:v>
      </x:c>
      <x:c r="P173" s="26"/>
      <x:c r="Q173" s="13"/>
      <x:c r="R173" s="13"/>
      <x:c r="S173" s="13"/>
      <x:c r="T173" s="13"/>
    </x:row>
    <x:row r="174">
      <x:c r="A174" s="13" t="str">
        <x:v>Carlos Miguel</x:v>
      </x:c>
      <x:c r="B174" s="13" t="n">
        <x:v>2029</x:v>
      </x:c>
      <x:c r="C174" s="13" t="str">
        <x:v>T1</x:v>
      </x:c>
      <x:c r="D174" s="24" t="n">
        <x:v>47208</x:v>
      </x:c>
      <x:c r="E174" s="13" t="str">
        <x:v>Goleiro</x:v>
      </x:c>
      <x:c r="F174" s="13" t="str">
        <x:v>SE Palmeiras</x:v>
      </x:c>
      <x:c r="G174" s="16"/>
      <x:c r="H174" s="16"/>
      <x:c r="I174" s="16"/>
      <x:c r="J174" s="16"/>
      <x:c r="K174" s="16" t="str">
        <x:f>IF(COUNT(G174,I174)=0,"",AVERAGE(G174,I174))</x:f>
      </x:c>
      <x:c r="L174" s="16" t="str">
        <x:f>IF(COUNT(H174,J174)=0,"",AVERAGE(H174,J174))</x:f>
      </x:c>
      <x:c r="M174" s="16" t="str">
        <x:f>IF(OR(K174="",L174=""),"",L174-K174)</x:f>
      </x:c>
      <x:c r="N174" s="16" t="str">
        <x:f>IF(AND(A174=A173,ISNUMBER(K174),ISNUMBER(K173)),K174-K173,"")</x:f>
      </x:c>
      <x:c r="O174" s="13" t="str">
        <x:v>Sem informação</x:v>
      </x:c>
      <x:c r="P174" s="26"/>
      <x:c r="Q174" s="13"/>
      <x:c r="R174" s="13"/>
      <x:c r="S174" s="13"/>
      <x:c r="T174" s="13"/>
    </x:row>
    <x:row r="175">
      <x:c r="A175" s="13" t="str">
        <x:v>Carlos Miguel</x:v>
      </x:c>
      <x:c r="B175" s="13" t="n">
        <x:v>2029</x:v>
      </x:c>
      <x:c r="C175" s="13" t="str">
        <x:v>T2</x:v>
      </x:c>
      <x:c r="D175" s="24" t="n">
        <x:v>47299</x:v>
      </x:c>
      <x:c r="E175" s="13" t="str">
        <x:v>Goleiro</x:v>
      </x:c>
      <x:c r="F175" s="13" t="str">
        <x:v>SE Palmeiras</x:v>
      </x:c>
      <x:c r="G175" s="16"/>
      <x:c r="H175" s="16"/>
      <x:c r="I175" s="16"/>
      <x:c r="J175" s="16"/>
      <x:c r="K175" s="16" t="str">
        <x:f>IF(COUNT(G175,I175)=0,"",AVERAGE(G175,I175))</x:f>
      </x:c>
      <x:c r="L175" s="16" t="str">
        <x:f>IF(COUNT(H175,J175)=0,"",AVERAGE(H175,J175))</x:f>
      </x:c>
      <x:c r="M175" s="16" t="str">
        <x:f>IF(OR(K175="",L175=""),"",L175-K175)</x:f>
      </x:c>
      <x:c r="N175" s="16" t="str">
        <x:f>IF(AND(A175=A174,ISNUMBER(K175),ISNUMBER(K174)),K175-K174,"")</x:f>
      </x:c>
      <x:c r="O175" s="13" t="str">
        <x:v>Sem informação</x:v>
      </x:c>
      <x:c r="P175" s="26"/>
      <x:c r="Q175" s="13"/>
      <x:c r="R175" s="13"/>
      <x:c r="S175" s="13"/>
      <x:c r="T175" s="13"/>
    </x:row>
    <x:row r="176">
      <x:c r="A176" s="13" t="str">
        <x:v>Carlos Miguel</x:v>
      </x:c>
      <x:c r="B176" s="13" t="n">
        <x:v>2029</x:v>
      </x:c>
      <x:c r="C176" s="13" t="str">
        <x:v>T3</x:v>
      </x:c>
      <x:c r="D176" s="24" t="n">
        <x:v>47391</x:v>
      </x:c>
      <x:c r="E176" s="13" t="str">
        <x:v>Goleiro</x:v>
      </x:c>
      <x:c r="F176" s="13" t="str">
        <x:v>SE Palmeiras</x:v>
      </x:c>
      <x:c r="G176" s="16"/>
      <x:c r="H176" s="16"/>
      <x:c r="I176" s="16"/>
      <x:c r="J176" s="16"/>
      <x:c r="K176" s="16" t="str">
        <x:f>IF(COUNT(G176,I176)=0,"",AVERAGE(G176,I176))</x:f>
      </x:c>
      <x:c r="L176" s="16" t="str">
        <x:f>IF(COUNT(H176,J176)=0,"",AVERAGE(H176,J176))</x:f>
      </x:c>
      <x:c r="M176" s="16" t="str">
        <x:f>IF(OR(K176="",L176=""),"",L176-K176)</x:f>
      </x:c>
      <x:c r="N176" s="16" t="str">
        <x:f>IF(AND(A176=A175,ISNUMBER(K176),ISNUMBER(K175)),K176-K175,"")</x:f>
      </x:c>
      <x:c r="O176" s="13" t="str">
        <x:v>Sem informação</x:v>
      </x:c>
      <x:c r="P176" s="26"/>
      <x:c r="Q176" s="13"/>
      <x:c r="R176" s="13"/>
      <x:c r="S176" s="13"/>
      <x:c r="T176" s="13"/>
    </x:row>
    <x:row r="177">
      <x:c r="A177" s="13" t="str">
        <x:v>Carlos Miguel</x:v>
      </x:c>
      <x:c r="B177" s="13" t="n">
        <x:v>2029</x:v>
      </x:c>
      <x:c r="C177" s="13" t="str">
        <x:v>T4</x:v>
      </x:c>
      <x:c r="D177" s="24" t="n">
        <x:v>47483</x:v>
      </x:c>
      <x:c r="E177" s="13" t="str">
        <x:v>Goleiro</x:v>
      </x:c>
      <x:c r="F177" s="13" t="str">
        <x:v>SE Palmeiras</x:v>
      </x:c>
      <x:c r="G177" s="16"/>
      <x:c r="H177" s="16"/>
      <x:c r="I177" s="16"/>
      <x:c r="J177" s="16"/>
      <x:c r="K177" s="16" t="str">
        <x:f>IF(COUNT(G177,I177)=0,"",AVERAGE(G177,I177))</x:f>
      </x:c>
      <x:c r="L177" s="16" t="str">
        <x:f>IF(COUNT(H177,J177)=0,"",AVERAGE(H177,J177))</x:f>
      </x:c>
      <x:c r="M177" s="16" t="str">
        <x:f>IF(OR(K177="",L177=""),"",L177-K177)</x:f>
      </x:c>
      <x:c r="N177" s="16" t="str">
        <x:f>IF(AND(A177=A176,ISNUMBER(K177),ISNUMBER(K176)),K177-K176,"")</x:f>
      </x:c>
      <x:c r="O177" s="13" t="str">
        <x:v>Sem informação</x:v>
      </x:c>
      <x:c r="P177" s="26"/>
      <x:c r="Q177" s="13"/>
      <x:c r="R177" s="13"/>
      <x:c r="S177" s="13"/>
      <x:c r="T177" s="13"/>
    </x:row>
    <x:row r="178">
      <x:c r="A178" s="13" t="str">
        <x:v>Carlos Miguel</x:v>
      </x:c>
      <x:c r="B178" s="13" t="n">
        <x:v>2030</x:v>
      </x:c>
      <x:c r="C178" s="13" t="str">
        <x:v>T1</x:v>
      </x:c>
      <x:c r="D178" s="24" t="n">
        <x:v>47573</x:v>
      </x:c>
      <x:c r="E178" s="13" t="str">
        <x:v>Goleiro</x:v>
      </x:c>
      <x:c r="F178" s="13" t="str">
        <x:v>SE Palmeiras</x:v>
      </x:c>
      <x:c r="G178" s="16"/>
      <x:c r="H178" s="16"/>
      <x:c r="I178" s="16"/>
      <x:c r="J178" s="16"/>
      <x:c r="K178" s="16" t="str">
        <x:f>IF(COUNT(G178,I178)=0,"",AVERAGE(G178,I178))</x:f>
      </x:c>
      <x:c r="L178" s="16" t="str">
        <x:f>IF(COUNT(H178,J178)=0,"",AVERAGE(H178,J178))</x:f>
      </x:c>
      <x:c r="M178" s="16" t="str">
        <x:f>IF(OR(K178="",L178=""),"",L178-K178)</x:f>
      </x:c>
      <x:c r="N178" s="16" t="str">
        <x:f>IF(AND(A178=A177,ISNUMBER(K178),ISNUMBER(K177)),K178-K177,"")</x:f>
      </x:c>
      <x:c r="O178" s="13" t="str">
        <x:v>Sem informação</x:v>
      </x:c>
      <x:c r="P178" s="26"/>
      <x:c r="Q178" s="13"/>
      <x:c r="R178" s="13"/>
      <x:c r="S178" s="13"/>
      <x:c r="T178" s="13"/>
    </x:row>
    <x:row r="179">
      <x:c r="A179" s="13" t="str">
        <x:v>Carlos Miguel</x:v>
      </x:c>
      <x:c r="B179" s="13" t="n">
        <x:v>2030</x:v>
      </x:c>
      <x:c r="C179" s="13" t="str">
        <x:v>T2</x:v>
      </x:c>
      <x:c r="D179" s="24" t="n">
        <x:v>47664</x:v>
      </x:c>
      <x:c r="E179" s="13" t="str">
        <x:v>Goleiro</x:v>
      </x:c>
      <x:c r="F179" s="13" t="str">
        <x:v>SE Palmeiras</x:v>
      </x:c>
      <x:c r="G179" s="16"/>
      <x:c r="H179" s="16"/>
      <x:c r="I179" s="16"/>
      <x:c r="J179" s="16"/>
      <x:c r="K179" s="16" t="str">
        <x:f>IF(COUNT(G179,I179)=0,"",AVERAGE(G179,I179))</x:f>
      </x:c>
      <x:c r="L179" s="16" t="str">
        <x:f>IF(COUNT(H179,J179)=0,"",AVERAGE(H179,J179))</x:f>
      </x:c>
      <x:c r="M179" s="16" t="str">
        <x:f>IF(OR(K179="",L179=""),"",L179-K179)</x:f>
      </x:c>
      <x:c r="N179" s="16" t="str">
        <x:f>IF(AND(A179=A178,ISNUMBER(K179),ISNUMBER(K178)),K179-K178,"")</x:f>
      </x:c>
      <x:c r="O179" s="13" t="str">
        <x:v>Sem informação</x:v>
      </x:c>
      <x:c r="P179" s="26"/>
      <x:c r="Q179" s="13"/>
      <x:c r="R179" s="13"/>
      <x:c r="S179" s="13"/>
      <x:c r="T179" s="13"/>
    </x:row>
    <x:row r="180">
      <x:c r="A180" s="13" t="str">
        <x:v>Carlos Miguel</x:v>
      </x:c>
      <x:c r="B180" s="13" t="n">
        <x:v>2030</x:v>
      </x:c>
      <x:c r="C180" s="13" t="str">
        <x:v>T3</x:v>
      </x:c>
      <x:c r="D180" s="24" t="n">
        <x:v>47756</x:v>
      </x:c>
      <x:c r="E180" s="13" t="str">
        <x:v>Goleiro</x:v>
      </x:c>
      <x:c r="F180" s="13" t="str">
        <x:v>SE Palmeiras</x:v>
      </x:c>
      <x:c r="G180" s="16"/>
      <x:c r="H180" s="16"/>
      <x:c r="I180" s="16"/>
      <x:c r="J180" s="16"/>
      <x:c r="K180" s="16" t="str">
        <x:f>IF(COUNT(G180,I180)=0,"",AVERAGE(G180,I180))</x:f>
      </x:c>
      <x:c r="L180" s="16" t="str">
        <x:f>IF(COUNT(H180,J180)=0,"",AVERAGE(H180,J180))</x:f>
      </x:c>
      <x:c r="M180" s="16" t="str">
        <x:f>IF(OR(K180="",L180=""),"",L180-K180)</x:f>
      </x:c>
      <x:c r="N180" s="16" t="str">
        <x:f>IF(AND(A180=A179,ISNUMBER(K180),ISNUMBER(K179)),K180-K179,"")</x:f>
      </x:c>
      <x:c r="O180" s="13" t="str">
        <x:v>Sem informação</x:v>
      </x:c>
      <x:c r="P180" s="26"/>
      <x:c r="Q180" s="13"/>
      <x:c r="R180" s="13"/>
      <x:c r="S180" s="13"/>
      <x:c r="T180" s="13"/>
    </x:row>
    <x:row r="181">
      <x:c r="A181" s="13" t="str">
        <x:v>Carlos Miguel</x:v>
      </x:c>
      <x:c r="B181" s="13" t="n">
        <x:v>2030</x:v>
      </x:c>
      <x:c r="C181" s="13" t="str">
        <x:v>T4</x:v>
      </x:c>
      <x:c r="D181" s="24" t="n">
        <x:v>47848</x:v>
      </x:c>
      <x:c r="E181" s="13" t="str">
        <x:v>Goleiro</x:v>
      </x:c>
      <x:c r="F181" s="13" t="str">
        <x:v>SE Palmeiras</x:v>
      </x:c>
      <x:c r="G181" s="16"/>
      <x:c r="H181" s="16"/>
      <x:c r="I181" s="16"/>
      <x:c r="J181" s="16"/>
      <x:c r="K181" s="16" t="str">
        <x:f>IF(COUNT(G181,I181)=0,"",AVERAGE(G181,I181))</x:f>
      </x:c>
      <x:c r="L181" s="16" t="str">
        <x:f>IF(COUNT(H181,J181)=0,"",AVERAGE(H181,J181))</x:f>
      </x:c>
      <x:c r="M181" s="16" t="str">
        <x:f>IF(OR(K181="",L181=""),"",L181-K181)</x:f>
      </x:c>
      <x:c r="N181" s="16" t="str">
        <x:f>IF(AND(A181=A180,ISNUMBER(K181),ISNUMBER(K180)),K181-K180,"")</x:f>
      </x:c>
      <x:c r="O181" s="13" t="str">
        <x:v>Sem informação</x:v>
      </x:c>
      <x:c r="P181" s="26"/>
      <x:c r="Q181" s="13"/>
      <x:c r="R181" s="13"/>
      <x:c r="S181" s="13"/>
      <x:c r="T181" s="13"/>
    </x:row>
    <x:row r="182">
      <x:c r="A182" s="13" t="str">
        <x:v>Danilo</x:v>
      </x:c>
      <x:c r="B182" s="13" t="n">
        <x:v>2026</x:v>
      </x:c>
      <x:c r="C182" s="13" t="str">
        <x:v>T1</x:v>
      </x:c>
      <x:c r="D182" s="24" t="n">
        <x:v>46112</x:v>
      </x:c>
      <x:c r="E182" s="13" t="str">
        <x:v>Volante</x:v>
      </x:c>
      <x:c r="F182" s="13" t="str">
        <x:v>Botafogo FR</x:v>
      </x:c>
      <x:c r="G182" s="16"/>
      <x:c r="H182" s="16"/>
      <x:c r="I182" s="16"/>
      <x:c r="J182" s="16"/>
      <x:c r="K182" s="16" t="str">
        <x:f>IF(COUNT(G182,I182)=0,"",AVERAGE(G182,I182))</x:f>
      </x:c>
      <x:c r="L182" s="16" t="str">
        <x:f>IF(COUNT(H182,J182)=0,"",AVERAGE(H182,J182))</x:f>
      </x:c>
      <x:c r="M182" s="16" t="str">
        <x:f>IF(OR(K182="",L182=""),"",L182-K182)</x:f>
      </x:c>
      <x:c r="N182" s="16" t="str">
        <x:f>IF(AND(A182=A181,ISNUMBER(K182),ISNUMBER(K181)),K182-K181,"")</x:f>
      </x:c>
      <x:c r="O182" s="13" t="str">
        <x:v>Sem informação</x:v>
      </x:c>
      <x:c r="P182" s="26"/>
      <x:c r="Q182" s="13"/>
      <x:c r="R182" s="13"/>
      <x:c r="S182" s="13"/>
      <x:c r="T182" s="13"/>
    </x:row>
    <x:row r="183">
      <x:c r="A183" s="13" t="str">
        <x:v>Danilo</x:v>
      </x:c>
      <x:c r="B183" s="13" t="n">
        <x:v>2026</x:v>
      </x:c>
      <x:c r="C183" s="13" t="str">
        <x:v>T2</x:v>
      </x:c>
      <x:c r="D183" s="24" t="n">
        <x:v>46203</x:v>
      </x:c>
      <x:c r="E183" s="13" t="str">
        <x:v>Volante</x:v>
      </x:c>
      <x:c r="F183" s="13" t="str">
        <x:v>Botafogo FR</x:v>
      </x:c>
      <x:c r="G183" s="16"/>
      <x:c r="H183" s="16"/>
      <x:c r="I183" s="16"/>
      <x:c r="J183" s="16"/>
      <x:c r="K183" s="16" t="str">
        <x:f>IF(COUNT(G183,I183)=0,"",AVERAGE(G183,I183))</x:f>
      </x:c>
      <x:c r="L183" s="16" t="str">
        <x:f>IF(COUNT(H183,J183)=0,"",AVERAGE(H183,J183))</x:f>
      </x:c>
      <x:c r="M183" s="16" t="str">
        <x:f>IF(OR(K183="",L183=""),"",L183-K183)</x:f>
      </x:c>
      <x:c r="N183" s="16" t="str">
        <x:f>IF(AND(A183=A182,ISNUMBER(K183),ISNUMBER(K182)),K183-K182,"")</x:f>
      </x:c>
      <x:c r="O183" s="13" t="str">
        <x:v>Sem informação</x:v>
      </x:c>
      <x:c r="P183" s="26"/>
      <x:c r="Q183" s="13"/>
      <x:c r="R183" s="13"/>
      <x:c r="S183" s="13"/>
      <x:c r="T183" s="13"/>
    </x:row>
    <x:row r="184">
      <x:c r="A184" s="13" t="str">
        <x:v>Danilo</x:v>
      </x:c>
      <x:c r="B184" s="13" t="n">
        <x:v>2026</x:v>
      </x:c>
      <x:c r="C184" s="13" t="str">
        <x:v>T3</x:v>
      </x:c>
      <x:c r="D184" s="24" t="n">
        <x:v>46295</x:v>
      </x:c>
      <x:c r="E184" s="13" t="str">
        <x:v>Volante</x:v>
      </x:c>
      <x:c r="F184" s="13" t="str">
        <x:v>Botafogo FR</x:v>
      </x:c>
      <x:c r="G184" s="16"/>
      <x:c r="H184" s="16"/>
      <x:c r="I184" s="16"/>
      <x:c r="J184" s="16"/>
      <x:c r="K184" s="16" t="str">
        <x:f>IF(COUNT(G184,I184)=0,"",AVERAGE(G184,I184))</x:f>
      </x:c>
      <x:c r="L184" s="16" t="str">
        <x:f>IF(COUNT(H184,J184)=0,"",AVERAGE(H184,J184))</x:f>
      </x:c>
      <x:c r="M184" s="16" t="str">
        <x:f>IF(OR(K184="",L184=""),"",L184-K184)</x:f>
      </x:c>
      <x:c r="N184" s="16" t="str">
        <x:f>IF(AND(A184=A183,ISNUMBER(K184),ISNUMBER(K183)),K184-K183,"")</x:f>
      </x:c>
      <x:c r="O184" s="13" t="str">
        <x:v>Sem informação</x:v>
      </x:c>
      <x:c r="P184" s="26"/>
      <x:c r="Q184" s="13"/>
      <x:c r="R184" s="13"/>
      <x:c r="S184" s="13"/>
      <x:c r="T184" s="13"/>
    </x:row>
    <x:row r="185">
      <x:c r="A185" s="13" t="str">
        <x:v>Danilo</x:v>
      </x:c>
      <x:c r="B185" s="13" t="n">
        <x:v>2026</x:v>
      </x:c>
      <x:c r="C185" s="13" t="str">
        <x:v>T4</x:v>
      </x:c>
      <x:c r="D185" s="24" t="n">
        <x:v>46387</x:v>
      </x:c>
      <x:c r="E185" s="13" t="str">
        <x:v>Volante</x:v>
      </x:c>
      <x:c r="F185" s="13" t="str">
        <x:v>Botafogo FR</x:v>
      </x:c>
      <x:c r="G185" s="16"/>
      <x:c r="H185" s="16"/>
      <x:c r="I185" s="16"/>
      <x:c r="J185" s="16"/>
      <x:c r="K185" s="16" t="str">
        <x:f>IF(COUNT(G185,I185)=0,"",AVERAGE(G185,I185))</x:f>
      </x:c>
      <x:c r="L185" s="16" t="str">
        <x:f>IF(COUNT(H185,J185)=0,"",AVERAGE(H185,J185))</x:f>
      </x:c>
      <x:c r="M185" s="16" t="str">
        <x:f>IF(OR(K185="",L185=""),"",L185-K185)</x:f>
      </x:c>
      <x:c r="N185" s="16" t="str">
        <x:f>IF(AND(A185=A184,ISNUMBER(K185),ISNUMBER(K184)),K185-K184,"")</x:f>
      </x:c>
      <x:c r="O185" s="13" t="str">
        <x:v>Sem informação</x:v>
      </x:c>
      <x:c r="P185" s="26"/>
      <x:c r="Q185" s="13"/>
      <x:c r="R185" s="13"/>
      <x:c r="S185" s="13"/>
      <x:c r="T185" s="13"/>
    </x:row>
    <x:row r="186">
      <x:c r="A186" s="13" t="str">
        <x:v>Danilo</x:v>
      </x:c>
      <x:c r="B186" s="13" t="n">
        <x:v>2027</x:v>
      </x:c>
      <x:c r="C186" s="13" t="str">
        <x:v>T1</x:v>
      </x:c>
      <x:c r="D186" s="24" t="n">
        <x:v>46477</x:v>
      </x:c>
      <x:c r="E186" s="13" t="str">
        <x:v>Volante</x:v>
      </x:c>
      <x:c r="F186" s="13" t="str">
        <x:v>Botafogo FR</x:v>
      </x:c>
      <x:c r="G186" s="16"/>
      <x:c r="H186" s="16"/>
      <x:c r="I186" s="16"/>
      <x:c r="J186" s="16"/>
      <x:c r="K186" s="16" t="str">
        <x:f>IF(COUNT(G186,I186)=0,"",AVERAGE(G186,I186))</x:f>
      </x:c>
      <x:c r="L186" s="16" t="str">
        <x:f>IF(COUNT(H186,J186)=0,"",AVERAGE(H186,J186))</x:f>
      </x:c>
      <x:c r="M186" s="16" t="str">
        <x:f>IF(OR(K186="",L186=""),"",L186-K186)</x:f>
      </x:c>
      <x:c r="N186" s="16" t="str">
        <x:f>IF(AND(A186=A185,ISNUMBER(K186),ISNUMBER(K185)),K186-K185,"")</x:f>
      </x:c>
      <x:c r="O186" s="13" t="str">
        <x:v>Sem informação</x:v>
      </x:c>
      <x:c r="P186" s="26"/>
      <x:c r="Q186" s="13"/>
      <x:c r="R186" s="13"/>
      <x:c r="S186" s="13"/>
      <x:c r="T186" s="13"/>
    </x:row>
    <x:row r="187">
      <x:c r="A187" s="13" t="str">
        <x:v>Danilo</x:v>
      </x:c>
      <x:c r="B187" s="13" t="n">
        <x:v>2027</x:v>
      </x:c>
      <x:c r="C187" s="13" t="str">
        <x:v>T2</x:v>
      </x:c>
      <x:c r="D187" s="24" t="n">
        <x:v>46568</x:v>
      </x:c>
      <x:c r="E187" s="13" t="str">
        <x:v>Volante</x:v>
      </x:c>
      <x:c r="F187" s="13" t="str">
        <x:v>Botafogo FR</x:v>
      </x:c>
      <x:c r="G187" s="16"/>
      <x:c r="H187" s="16"/>
      <x:c r="I187" s="16"/>
      <x:c r="J187" s="16"/>
      <x:c r="K187" s="16" t="str">
        <x:f>IF(COUNT(G187,I187)=0,"",AVERAGE(G187,I187))</x:f>
      </x:c>
      <x:c r="L187" s="16" t="str">
        <x:f>IF(COUNT(H187,J187)=0,"",AVERAGE(H187,J187))</x:f>
      </x:c>
      <x:c r="M187" s="16" t="str">
        <x:f>IF(OR(K187="",L187=""),"",L187-K187)</x:f>
      </x:c>
      <x:c r="N187" s="16" t="str">
        <x:f>IF(AND(A187=A186,ISNUMBER(K187),ISNUMBER(K186)),K187-K186,"")</x:f>
      </x:c>
      <x:c r="O187" s="13" t="str">
        <x:v>Sem informação</x:v>
      </x:c>
      <x:c r="P187" s="26"/>
      <x:c r="Q187" s="13"/>
      <x:c r="R187" s="13"/>
      <x:c r="S187" s="13"/>
      <x:c r="T187" s="13"/>
    </x:row>
    <x:row r="188">
      <x:c r="A188" s="13" t="str">
        <x:v>Danilo</x:v>
      </x:c>
      <x:c r="B188" s="13" t="n">
        <x:v>2027</x:v>
      </x:c>
      <x:c r="C188" s="13" t="str">
        <x:v>T3</x:v>
      </x:c>
      <x:c r="D188" s="24" t="n">
        <x:v>46660</x:v>
      </x:c>
      <x:c r="E188" s="13" t="str">
        <x:v>Volante</x:v>
      </x:c>
      <x:c r="F188" s="13" t="str">
        <x:v>Botafogo FR</x:v>
      </x:c>
      <x:c r="G188" s="16"/>
      <x:c r="H188" s="16"/>
      <x:c r="I188" s="16"/>
      <x:c r="J188" s="16"/>
      <x:c r="K188" s="16" t="str">
        <x:f>IF(COUNT(G188,I188)=0,"",AVERAGE(G188,I188))</x:f>
      </x:c>
      <x:c r="L188" s="16" t="str">
        <x:f>IF(COUNT(H188,J188)=0,"",AVERAGE(H188,J188))</x:f>
      </x:c>
      <x:c r="M188" s="16" t="str">
        <x:f>IF(OR(K188="",L188=""),"",L188-K188)</x:f>
      </x:c>
      <x:c r="N188" s="16" t="str">
        <x:f>IF(AND(A188=A187,ISNUMBER(K188),ISNUMBER(K187)),K188-K187,"")</x:f>
      </x:c>
      <x:c r="O188" s="13" t="str">
        <x:v>Sem informação</x:v>
      </x:c>
      <x:c r="P188" s="26"/>
      <x:c r="Q188" s="13"/>
      <x:c r="R188" s="13"/>
      <x:c r="S188" s="13"/>
      <x:c r="T188" s="13"/>
    </x:row>
    <x:row r="189">
      <x:c r="A189" s="13" t="str">
        <x:v>Danilo</x:v>
      </x:c>
      <x:c r="B189" s="13" t="n">
        <x:v>2027</x:v>
      </x:c>
      <x:c r="C189" s="13" t="str">
        <x:v>T4</x:v>
      </x:c>
      <x:c r="D189" s="24" t="n">
        <x:v>46752</x:v>
      </x:c>
      <x:c r="E189" s="13" t="str">
        <x:v>Volante</x:v>
      </x:c>
      <x:c r="F189" s="13" t="str">
        <x:v>Botafogo FR</x:v>
      </x:c>
      <x:c r="G189" s="16"/>
      <x:c r="H189" s="16"/>
      <x:c r="I189" s="16"/>
      <x:c r="J189" s="16"/>
      <x:c r="K189" s="16" t="str">
        <x:f>IF(COUNT(G189,I189)=0,"",AVERAGE(G189,I189))</x:f>
      </x:c>
      <x:c r="L189" s="16" t="str">
        <x:f>IF(COUNT(H189,J189)=0,"",AVERAGE(H189,J189))</x:f>
      </x:c>
      <x:c r="M189" s="16" t="str">
        <x:f>IF(OR(K189="",L189=""),"",L189-K189)</x:f>
      </x:c>
      <x:c r="N189" s="16" t="str">
        <x:f>IF(AND(A189=A188,ISNUMBER(K189),ISNUMBER(K188)),K189-K188,"")</x:f>
      </x:c>
      <x:c r="O189" s="13" t="str">
        <x:v>Sem informação</x:v>
      </x:c>
      <x:c r="P189" s="26"/>
      <x:c r="Q189" s="13"/>
      <x:c r="R189" s="13"/>
      <x:c r="S189" s="13"/>
      <x:c r="T189" s="13"/>
    </x:row>
    <x:row r="190">
      <x:c r="A190" s="13" t="str">
        <x:v>Danilo</x:v>
      </x:c>
      <x:c r="B190" s="13" t="n">
        <x:v>2028</x:v>
      </x:c>
      <x:c r="C190" s="13" t="str">
        <x:v>T1</x:v>
      </x:c>
      <x:c r="D190" s="24" t="n">
        <x:v>46843</x:v>
      </x:c>
      <x:c r="E190" s="13" t="str">
        <x:v>Volante</x:v>
      </x:c>
      <x:c r="F190" s="13" t="str">
        <x:v>Botafogo FR</x:v>
      </x:c>
      <x:c r="G190" s="16"/>
      <x:c r="H190" s="16"/>
      <x:c r="I190" s="16"/>
      <x:c r="J190" s="16"/>
      <x:c r="K190" s="16" t="str">
        <x:f>IF(COUNT(G190,I190)=0,"",AVERAGE(G190,I190))</x:f>
      </x:c>
      <x:c r="L190" s="16" t="str">
        <x:f>IF(COUNT(H190,J190)=0,"",AVERAGE(H190,J190))</x:f>
      </x:c>
      <x:c r="M190" s="16" t="str">
        <x:f>IF(OR(K190="",L190=""),"",L190-K190)</x:f>
      </x:c>
      <x:c r="N190" s="16" t="str">
        <x:f>IF(AND(A190=A189,ISNUMBER(K190),ISNUMBER(K189)),K190-K189,"")</x:f>
      </x:c>
      <x:c r="O190" s="13" t="str">
        <x:v>Sem informação</x:v>
      </x:c>
      <x:c r="P190" s="26"/>
      <x:c r="Q190" s="13"/>
      <x:c r="R190" s="13"/>
      <x:c r="S190" s="13"/>
      <x:c r="T190" s="13"/>
    </x:row>
    <x:row r="191">
      <x:c r="A191" s="13" t="str">
        <x:v>Danilo</x:v>
      </x:c>
      <x:c r="B191" s="13" t="n">
        <x:v>2028</x:v>
      </x:c>
      <x:c r="C191" s="13" t="str">
        <x:v>T2</x:v>
      </x:c>
      <x:c r="D191" s="24" t="n">
        <x:v>46934</x:v>
      </x:c>
      <x:c r="E191" s="13" t="str">
        <x:v>Volante</x:v>
      </x:c>
      <x:c r="F191" s="13" t="str">
        <x:v>Botafogo FR</x:v>
      </x:c>
      <x:c r="G191" s="16"/>
      <x:c r="H191" s="16"/>
      <x:c r="I191" s="16"/>
      <x:c r="J191" s="16"/>
      <x:c r="K191" s="16" t="str">
        <x:f>IF(COUNT(G191,I191)=0,"",AVERAGE(G191,I191))</x:f>
      </x:c>
      <x:c r="L191" s="16" t="str">
        <x:f>IF(COUNT(H191,J191)=0,"",AVERAGE(H191,J191))</x:f>
      </x:c>
      <x:c r="M191" s="16" t="str">
        <x:f>IF(OR(K191="",L191=""),"",L191-K191)</x:f>
      </x:c>
      <x:c r="N191" s="16" t="str">
        <x:f>IF(AND(A191=A190,ISNUMBER(K191),ISNUMBER(K190)),K191-K190,"")</x:f>
      </x:c>
      <x:c r="O191" s="13" t="str">
        <x:v>Sem informação</x:v>
      </x:c>
      <x:c r="P191" s="26"/>
      <x:c r="Q191" s="13"/>
      <x:c r="R191" s="13"/>
      <x:c r="S191" s="13"/>
      <x:c r="T191" s="13"/>
    </x:row>
    <x:row r="192">
      <x:c r="A192" s="13" t="str">
        <x:v>Danilo</x:v>
      </x:c>
      <x:c r="B192" s="13" t="n">
        <x:v>2028</x:v>
      </x:c>
      <x:c r="C192" s="13" t="str">
        <x:v>T3</x:v>
      </x:c>
      <x:c r="D192" s="24" t="n">
        <x:v>47026</x:v>
      </x:c>
      <x:c r="E192" s="13" t="str">
        <x:v>Volante</x:v>
      </x:c>
      <x:c r="F192" s="13" t="str">
        <x:v>Botafogo FR</x:v>
      </x:c>
      <x:c r="G192" s="16"/>
      <x:c r="H192" s="16"/>
      <x:c r="I192" s="16"/>
      <x:c r="J192" s="16"/>
      <x:c r="K192" s="16" t="str">
        <x:f>IF(COUNT(G192,I192)=0,"",AVERAGE(G192,I192))</x:f>
      </x:c>
      <x:c r="L192" s="16" t="str">
        <x:f>IF(COUNT(H192,J192)=0,"",AVERAGE(H192,J192))</x:f>
      </x:c>
      <x:c r="M192" s="16" t="str">
        <x:f>IF(OR(K192="",L192=""),"",L192-K192)</x:f>
      </x:c>
      <x:c r="N192" s="16" t="str">
        <x:f>IF(AND(A192=A191,ISNUMBER(K192),ISNUMBER(K191)),K192-K191,"")</x:f>
      </x:c>
      <x:c r="O192" s="13" t="str">
        <x:v>Sem informação</x:v>
      </x:c>
      <x:c r="P192" s="26"/>
      <x:c r="Q192" s="13"/>
      <x:c r="R192" s="13"/>
      <x:c r="S192" s="13"/>
      <x:c r="T192" s="13"/>
    </x:row>
    <x:row r="193">
      <x:c r="A193" s="13" t="str">
        <x:v>Danilo</x:v>
      </x:c>
      <x:c r="B193" s="13" t="n">
        <x:v>2028</x:v>
      </x:c>
      <x:c r="C193" s="13" t="str">
        <x:v>T4</x:v>
      </x:c>
      <x:c r="D193" s="24" t="n">
        <x:v>47118</x:v>
      </x:c>
      <x:c r="E193" s="13" t="str">
        <x:v>Volante</x:v>
      </x:c>
      <x:c r="F193" s="13" t="str">
        <x:v>Botafogo FR</x:v>
      </x:c>
      <x:c r="G193" s="16"/>
      <x:c r="H193" s="16"/>
      <x:c r="I193" s="16"/>
      <x:c r="J193" s="16"/>
      <x:c r="K193" s="16" t="str">
        <x:f>IF(COUNT(G193,I193)=0,"",AVERAGE(G193,I193))</x:f>
      </x:c>
      <x:c r="L193" s="16" t="str">
        <x:f>IF(COUNT(H193,J193)=0,"",AVERAGE(H193,J193))</x:f>
      </x:c>
      <x:c r="M193" s="16" t="str">
        <x:f>IF(OR(K193="",L193=""),"",L193-K193)</x:f>
      </x:c>
      <x:c r="N193" s="16" t="str">
        <x:f>IF(AND(A193=A192,ISNUMBER(K193),ISNUMBER(K192)),K193-K192,"")</x:f>
      </x:c>
      <x:c r="O193" s="13" t="str">
        <x:v>Sem informação</x:v>
      </x:c>
      <x:c r="P193" s="26"/>
      <x:c r="Q193" s="13"/>
      <x:c r="R193" s="13"/>
      <x:c r="S193" s="13"/>
      <x:c r="T193" s="13"/>
    </x:row>
    <x:row r="194">
      <x:c r="A194" s="13" t="str">
        <x:v>Danilo</x:v>
      </x:c>
      <x:c r="B194" s="13" t="n">
        <x:v>2029</x:v>
      </x:c>
      <x:c r="C194" s="13" t="str">
        <x:v>T1</x:v>
      </x:c>
      <x:c r="D194" s="24" t="n">
        <x:v>47208</x:v>
      </x:c>
      <x:c r="E194" s="13" t="str">
        <x:v>Volante</x:v>
      </x:c>
      <x:c r="F194" s="13" t="str">
        <x:v>Botafogo FR</x:v>
      </x:c>
      <x:c r="G194" s="16"/>
      <x:c r="H194" s="16"/>
      <x:c r="I194" s="16"/>
      <x:c r="J194" s="16"/>
      <x:c r="K194" s="16" t="str">
        <x:f>IF(COUNT(G194,I194)=0,"",AVERAGE(G194,I194))</x:f>
      </x:c>
      <x:c r="L194" s="16" t="str">
        <x:f>IF(COUNT(H194,J194)=0,"",AVERAGE(H194,J194))</x:f>
      </x:c>
      <x:c r="M194" s="16" t="str">
        <x:f>IF(OR(K194="",L194=""),"",L194-K194)</x:f>
      </x:c>
      <x:c r="N194" s="16" t="str">
        <x:f>IF(AND(A194=A193,ISNUMBER(K194),ISNUMBER(K193)),K194-K193,"")</x:f>
      </x:c>
      <x:c r="O194" s="13" t="str">
        <x:v>Sem informação</x:v>
      </x:c>
      <x:c r="P194" s="26"/>
      <x:c r="Q194" s="13"/>
      <x:c r="R194" s="13"/>
      <x:c r="S194" s="13"/>
      <x:c r="T194" s="13"/>
    </x:row>
    <x:row r="195">
      <x:c r="A195" s="13" t="str">
        <x:v>Danilo</x:v>
      </x:c>
      <x:c r="B195" s="13" t="n">
        <x:v>2029</x:v>
      </x:c>
      <x:c r="C195" s="13" t="str">
        <x:v>T2</x:v>
      </x:c>
      <x:c r="D195" s="24" t="n">
        <x:v>47299</x:v>
      </x:c>
      <x:c r="E195" s="13" t="str">
        <x:v>Volante</x:v>
      </x:c>
      <x:c r="F195" s="13" t="str">
        <x:v>Botafogo FR</x:v>
      </x:c>
      <x:c r="G195" s="16"/>
      <x:c r="H195" s="16"/>
      <x:c r="I195" s="16"/>
      <x:c r="J195" s="16"/>
      <x:c r="K195" s="16" t="str">
        <x:f>IF(COUNT(G195,I195)=0,"",AVERAGE(G195,I195))</x:f>
      </x:c>
      <x:c r="L195" s="16" t="str">
        <x:f>IF(COUNT(H195,J195)=0,"",AVERAGE(H195,J195))</x:f>
      </x:c>
      <x:c r="M195" s="16" t="str">
        <x:f>IF(OR(K195="",L195=""),"",L195-K195)</x:f>
      </x:c>
      <x:c r="N195" s="16" t="str">
        <x:f>IF(AND(A195=A194,ISNUMBER(K195),ISNUMBER(K194)),K195-K194,"")</x:f>
      </x:c>
      <x:c r="O195" s="13" t="str">
        <x:v>Sem informação</x:v>
      </x:c>
      <x:c r="P195" s="26"/>
      <x:c r="Q195" s="13"/>
      <x:c r="R195" s="13"/>
      <x:c r="S195" s="13"/>
      <x:c r="T195" s="13"/>
    </x:row>
    <x:row r="196">
      <x:c r="A196" s="13" t="str">
        <x:v>Danilo</x:v>
      </x:c>
      <x:c r="B196" s="13" t="n">
        <x:v>2029</x:v>
      </x:c>
      <x:c r="C196" s="13" t="str">
        <x:v>T3</x:v>
      </x:c>
      <x:c r="D196" s="24" t="n">
        <x:v>47391</x:v>
      </x:c>
      <x:c r="E196" s="13" t="str">
        <x:v>Volante</x:v>
      </x:c>
      <x:c r="F196" s="13" t="str">
        <x:v>Botafogo FR</x:v>
      </x:c>
      <x:c r="G196" s="16"/>
      <x:c r="H196" s="16"/>
      <x:c r="I196" s="16"/>
      <x:c r="J196" s="16"/>
      <x:c r="K196" s="16" t="str">
        <x:f>IF(COUNT(G196,I196)=0,"",AVERAGE(G196,I196))</x:f>
      </x:c>
      <x:c r="L196" s="16" t="str">
        <x:f>IF(COUNT(H196,J196)=0,"",AVERAGE(H196,J196))</x:f>
      </x:c>
      <x:c r="M196" s="16" t="str">
        <x:f>IF(OR(K196="",L196=""),"",L196-K196)</x:f>
      </x:c>
      <x:c r="N196" s="16" t="str">
        <x:f>IF(AND(A196=A195,ISNUMBER(K196),ISNUMBER(K195)),K196-K195,"")</x:f>
      </x:c>
      <x:c r="O196" s="13" t="str">
        <x:v>Sem informação</x:v>
      </x:c>
      <x:c r="P196" s="26"/>
      <x:c r="Q196" s="13"/>
      <x:c r="R196" s="13"/>
      <x:c r="S196" s="13"/>
      <x:c r="T196" s="13"/>
    </x:row>
    <x:row r="197">
      <x:c r="A197" s="13" t="str">
        <x:v>Danilo</x:v>
      </x:c>
      <x:c r="B197" s="13" t="n">
        <x:v>2029</x:v>
      </x:c>
      <x:c r="C197" s="13" t="str">
        <x:v>T4</x:v>
      </x:c>
      <x:c r="D197" s="24" t="n">
        <x:v>47483</x:v>
      </x:c>
      <x:c r="E197" s="13" t="str">
        <x:v>Volante</x:v>
      </x:c>
      <x:c r="F197" s="13" t="str">
        <x:v>Botafogo FR</x:v>
      </x:c>
      <x:c r="G197" s="16"/>
      <x:c r="H197" s="16"/>
      <x:c r="I197" s="16"/>
      <x:c r="J197" s="16"/>
      <x:c r="K197" s="16" t="str">
        <x:f>IF(COUNT(G197,I197)=0,"",AVERAGE(G197,I197))</x:f>
      </x:c>
      <x:c r="L197" s="16" t="str">
        <x:f>IF(COUNT(H197,J197)=0,"",AVERAGE(H197,J197))</x:f>
      </x:c>
      <x:c r="M197" s="16" t="str">
        <x:f>IF(OR(K197="",L197=""),"",L197-K197)</x:f>
      </x:c>
      <x:c r="N197" s="16" t="str">
        <x:f>IF(AND(A197=A196,ISNUMBER(K197),ISNUMBER(K196)),K197-K196,"")</x:f>
      </x:c>
      <x:c r="O197" s="13" t="str">
        <x:v>Sem informação</x:v>
      </x:c>
      <x:c r="P197" s="26"/>
      <x:c r="Q197" s="13"/>
      <x:c r="R197" s="13"/>
      <x:c r="S197" s="13"/>
      <x:c r="T197" s="13"/>
    </x:row>
    <x:row r="198">
      <x:c r="A198" s="13" t="str">
        <x:v>Danilo</x:v>
      </x:c>
      <x:c r="B198" s="13" t="n">
        <x:v>2030</x:v>
      </x:c>
      <x:c r="C198" s="13" t="str">
        <x:v>T1</x:v>
      </x:c>
      <x:c r="D198" s="24" t="n">
        <x:v>47573</x:v>
      </x:c>
      <x:c r="E198" s="13" t="str">
        <x:v>Volante</x:v>
      </x:c>
      <x:c r="F198" s="13" t="str">
        <x:v>Botafogo FR</x:v>
      </x:c>
      <x:c r="G198" s="16"/>
      <x:c r="H198" s="16"/>
      <x:c r="I198" s="16"/>
      <x:c r="J198" s="16"/>
      <x:c r="K198" s="16" t="str">
        <x:f>IF(COUNT(G198,I198)=0,"",AVERAGE(G198,I198))</x:f>
      </x:c>
      <x:c r="L198" s="16" t="str">
        <x:f>IF(COUNT(H198,J198)=0,"",AVERAGE(H198,J198))</x:f>
      </x:c>
      <x:c r="M198" s="16" t="str">
        <x:f>IF(OR(K198="",L198=""),"",L198-K198)</x:f>
      </x:c>
      <x:c r="N198" s="16" t="str">
        <x:f>IF(AND(A198=A197,ISNUMBER(K198),ISNUMBER(K197)),K198-K197,"")</x:f>
      </x:c>
      <x:c r="O198" s="13" t="str">
        <x:v>Sem informação</x:v>
      </x:c>
      <x:c r="P198" s="26"/>
      <x:c r="Q198" s="13"/>
      <x:c r="R198" s="13"/>
      <x:c r="S198" s="13"/>
      <x:c r="T198" s="13"/>
    </x:row>
    <x:row r="199">
      <x:c r="A199" s="13" t="str">
        <x:v>Danilo</x:v>
      </x:c>
      <x:c r="B199" s="13" t="n">
        <x:v>2030</x:v>
      </x:c>
      <x:c r="C199" s="13" t="str">
        <x:v>T2</x:v>
      </x:c>
      <x:c r="D199" s="24" t="n">
        <x:v>47664</x:v>
      </x:c>
      <x:c r="E199" s="13" t="str">
        <x:v>Volante</x:v>
      </x:c>
      <x:c r="F199" s="13" t="str">
        <x:v>Botafogo FR</x:v>
      </x:c>
      <x:c r="G199" s="16"/>
      <x:c r="H199" s="16"/>
      <x:c r="I199" s="16"/>
      <x:c r="J199" s="16"/>
      <x:c r="K199" s="16" t="str">
        <x:f>IF(COUNT(G199,I199)=0,"",AVERAGE(G199,I199))</x:f>
      </x:c>
      <x:c r="L199" s="16" t="str">
        <x:f>IF(COUNT(H199,J199)=0,"",AVERAGE(H199,J199))</x:f>
      </x:c>
      <x:c r="M199" s="16" t="str">
        <x:f>IF(OR(K199="",L199=""),"",L199-K199)</x:f>
      </x:c>
      <x:c r="N199" s="16" t="str">
        <x:f>IF(AND(A199=A198,ISNUMBER(K199),ISNUMBER(K198)),K199-K198,"")</x:f>
      </x:c>
      <x:c r="O199" s="13" t="str">
        <x:v>Sem informação</x:v>
      </x:c>
      <x:c r="P199" s="26"/>
      <x:c r="Q199" s="13"/>
      <x:c r="R199" s="13"/>
      <x:c r="S199" s="13"/>
      <x:c r="T199" s="13"/>
    </x:row>
    <x:row r="200">
      <x:c r="A200" s="13" t="str">
        <x:v>Danilo</x:v>
      </x:c>
      <x:c r="B200" s="13" t="n">
        <x:v>2030</x:v>
      </x:c>
      <x:c r="C200" s="13" t="str">
        <x:v>T3</x:v>
      </x:c>
      <x:c r="D200" s="24" t="n">
        <x:v>47756</x:v>
      </x:c>
      <x:c r="E200" s="13" t="str">
        <x:v>Volante</x:v>
      </x:c>
      <x:c r="F200" s="13" t="str">
        <x:v>Botafogo FR</x:v>
      </x:c>
      <x:c r="G200" s="16"/>
      <x:c r="H200" s="16"/>
      <x:c r="I200" s="16"/>
      <x:c r="J200" s="16"/>
      <x:c r="K200" s="16" t="str">
        <x:f>IF(COUNT(G200,I200)=0,"",AVERAGE(G200,I200))</x:f>
      </x:c>
      <x:c r="L200" s="16" t="str">
        <x:f>IF(COUNT(H200,J200)=0,"",AVERAGE(H200,J200))</x:f>
      </x:c>
      <x:c r="M200" s="16" t="str">
        <x:f>IF(OR(K200="",L200=""),"",L200-K200)</x:f>
      </x:c>
      <x:c r="N200" s="16" t="str">
        <x:f>IF(AND(A200=A199,ISNUMBER(K200),ISNUMBER(K199)),K200-K199,"")</x:f>
      </x:c>
      <x:c r="O200" s="13" t="str">
        <x:v>Sem informação</x:v>
      </x:c>
      <x:c r="P200" s="26"/>
      <x:c r="Q200" s="13"/>
      <x:c r="R200" s="13"/>
      <x:c r="S200" s="13"/>
      <x:c r="T200" s="13"/>
    </x:row>
    <x:row r="201">
      <x:c r="A201" s="13" t="str">
        <x:v>Danilo</x:v>
      </x:c>
      <x:c r="B201" s="13" t="n">
        <x:v>2030</x:v>
      </x:c>
      <x:c r="C201" s="13" t="str">
        <x:v>T4</x:v>
      </x:c>
      <x:c r="D201" s="24" t="n">
        <x:v>47848</x:v>
      </x:c>
      <x:c r="E201" s="13" t="str">
        <x:v>Volante</x:v>
      </x:c>
      <x:c r="F201" s="13" t="str">
        <x:v>Botafogo FR</x:v>
      </x:c>
      <x:c r="G201" s="16"/>
      <x:c r="H201" s="16"/>
      <x:c r="I201" s="16"/>
      <x:c r="J201" s="16"/>
      <x:c r="K201" s="16" t="str">
        <x:f>IF(COUNT(G201,I201)=0,"",AVERAGE(G201,I201))</x:f>
      </x:c>
      <x:c r="L201" s="16" t="str">
        <x:f>IF(COUNT(H201,J201)=0,"",AVERAGE(H201,J201))</x:f>
      </x:c>
      <x:c r="M201" s="16" t="str">
        <x:f>IF(OR(K201="",L201=""),"",L201-K201)</x:f>
      </x:c>
      <x:c r="N201" s="16" t="str">
        <x:f>IF(AND(A201=A200,ISNUMBER(K201),ISNUMBER(K200)),K201-K200,"")</x:f>
      </x:c>
      <x:c r="O201" s="13" t="str">
        <x:v>Sem informação</x:v>
      </x:c>
      <x:c r="P201" s="26"/>
      <x:c r="Q201" s="13"/>
      <x:c r="R201" s="13"/>
      <x:c r="S201" s="13"/>
      <x:c r="T201" s="13"/>
    </x:row>
    <x:row r="202">
      <x:c r="A202" s="13" t="str">
        <x:v>Denner</x:v>
      </x:c>
      <x:c r="B202" s="13" t="n">
        <x:v>2026</x:v>
      </x:c>
      <x:c r="C202" s="13" t="str">
        <x:v>T1</x:v>
      </x:c>
      <x:c r="D202" s="24" t="n">
        <x:v>46112</x:v>
      </x:c>
      <x:c r="E202" s="13" t="str">
        <x:v>Lateral-esquerdo</x:v>
      </x:c>
      <x:c r="F202" s="13" t="str">
        <x:v>Corinthians</x:v>
      </x:c>
      <x:c r="G202" s="16"/>
      <x:c r="H202" s="16"/>
      <x:c r="I202" s="16"/>
      <x:c r="J202" s="16"/>
      <x:c r="K202" s="16" t="str">
        <x:f>IF(COUNT(G202,I202)=0,"",AVERAGE(G202,I202))</x:f>
      </x:c>
      <x:c r="L202" s="16" t="str">
        <x:f>IF(COUNT(H202,J202)=0,"",AVERAGE(H202,J202))</x:f>
      </x:c>
      <x:c r="M202" s="16" t="str">
        <x:f>IF(OR(K202="",L202=""),"",L202-K202)</x:f>
      </x:c>
      <x:c r="N202" s="16" t="str">
        <x:f>IF(AND(A202=A201,ISNUMBER(K202),ISNUMBER(K201)),K202-K201,"")</x:f>
      </x:c>
      <x:c r="O202" s="13" t="str">
        <x:v>Sem informação</x:v>
      </x:c>
      <x:c r="P202" s="26"/>
      <x:c r="Q202" s="13"/>
      <x:c r="R202" s="13"/>
      <x:c r="S202" s="13"/>
      <x:c r="T202" s="13"/>
    </x:row>
    <x:row r="203">
      <x:c r="A203" s="13" t="str">
        <x:v>Denner</x:v>
      </x:c>
      <x:c r="B203" s="13" t="n">
        <x:v>2026</x:v>
      </x:c>
      <x:c r="C203" s="13" t="str">
        <x:v>T2</x:v>
      </x:c>
      <x:c r="D203" s="24" t="n">
        <x:v>46203</x:v>
      </x:c>
      <x:c r="E203" s="13" t="str">
        <x:v>Lateral-esquerdo</x:v>
      </x:c>
      <x:c r="F203" s="13" t="str">
        <x:v>Corinthians</x:v>
      </x:c>
      <x:c r="G203" s="16"/>
      <x:c r="H203" s="16"/>
      <x:c r="I203" s="16"/>
      <x:c r="J203" s="16"/>
      <x:c r="K203" s="16" t="str">
        <x:f>IF(COUNT(G203,I203)=0,"",AVERAGE(G203,I203))</x:f>
      </x:c>
      <x:c r="L203" s="16" t="str">
        <x:f>IF(COUNT(H203,J203)=0,"",AVERAGE(H203,J203))</x:f>
      </x:c>
      <x:c r="M203" s="16" t="str">
        <x:f>IF(OR(K203="",L203=""),"",L203-K203)</x:f>
      </x:c>
      <x:c r="N203" s="16" t="str">
        <x:f>IF(AND(A203=A202,ISNUMBER(K203),ISNUMBER(K202)),K203-K202,"")</x:f>
      </x:c>
      <x:c r="O203" s="13" t="str">
        <x:v>Sem informação</x:v>
      </x:c>
      <x:c r="P203" s="26"/>
      <x:c r="Q203" s="13"/>
      <x:c r="R203" s="13"/>
      <x:c r="S203" s="13"/>
      <x:c r="T203" s="13"/>
    </x:row>
    <x:row r="204">
      <x:c r="A204" s="13" t="str">
        <x:v>Denner</x:v>
      </x:c>
      <x:c r="B204" s="13" t="n">
        <x:v>2026</x:v>
      </x:c>
      <x:c r="C204" s="13" t="str">
        <x:v>T3</x:v>
      </x:c>
      <x:c r="D204" s="24" t="n">
        <x:v>46295</x:v>
      </x:c>
      <x:c r="E204" s="13" t="str">
        <x:v>Lateral-esquerdo</x:v>
      </x:c>
      <x:c r="F204" s="13" t="str">
        <x:v>Corinthians</x:v>
      </x:c>
      <x:c r="G204" s="16"/>
      <x:c r="H204" s="16"/>
      <x:c r="I204" s="16"/>
      <x:c r="J204" s="16"/>
      <x:c r="K204" s="16" t="str">
        <x:f>IF(COUNT(G204,I204)=0,"",AVERAGE(G204,I204))</x:f>
      </x:c>
      <x:c r="L204" s="16" t="str">
        <x:f>IF(COUNT(H204,J204)=0,"",AVERAGE(H204,J204))</x:f>
      </x:c>
      <x:c r="M204" s="16" t="str">
        <x:f>IF(OR(K204="",L204=""),"",L204-K204)</x:f>
      </x:c>
      <x:c r="N204" s="16" t="str">
        <x:f>IF(AND(A204=A203,ISNUMBER(K204),ISNUMBER(K203)),K204-K203,"")</x:f>
      </x:c>
      <x:c r="O204" s="13" t="str">
        <x:v>Sem informação</x:v>
      </x:c>
      <x:c r="P204" s="26"/>
      <x:c r="Q204" s="13"/>
      <x:c r="R204" s="13"/>
      <x:c r="S204" s="13"/>
      <x:c r="T204" s="13"/>
    </x:row>
    <x:row r="205">
      <x:c r="A205" s="13" t="str">
        <x:v>Denner</x:v>
      </x:c>
      <x:c r="B205" s="13" t="n">
        <x:v>2026</x:v>
      </x:c>
      <x:c r="C205" s="13" t="str">
        <x:v>T4</x:v>
      </x:c>
      <x:c r="D205" s="24" t="n">
        <x:v>46387</x:v>
      </x:c>
      <x:c r="E205" s="13" t="str">
        <x:v>Lateral-esquerdo</x:v>
      </x:c>
      <x:c r="F205" s="13" t="str">
        <x:v>Corinthians</x:v>
      </x:c>
      <x:c r="G205" s="16"/>
      <x:c r="H205" s="16"/>
      <x:c r="I205" s="16"/>
      <x:c r="J205" s="16"/>
      <x:c r="K205" s="16" t="str">
        <x:f>IF(COUNT(G205,I205)=0,"",AVERAGE(G205,I205))</x:f>
      </x:c>
      <x:c r="L205" s="16" t="str">
        <x:f>IF(COUNT(H205,J205)=0,"",AVERAGE(H205,J205))</x:f>
      </x:c>
      <x:c r="M205" s="16" t="str">
        <x:f>IF(OR(K205="",L205=""),"",L205-K205)</x:f>
      </x:c>
      <x:c r="N205" s="16" t="str">
        <x:f>IF(AND(A205=A204,ISNUMBER(K205),ISNUMBER(K204)),K205-K204,"")</x:f>
      </x:c>
      <x:c r="O205" s="13" t="str">
        <x:v>Sem informação</x:v>
      </x:c>
      <x:c r="P205" s="26"/>
      <x:c r="Q205" s="13"/>
      <x:c r="R205" s="13"/>
      <x:c r="S205" s="13"/>
      <x:c r="T205" s="13"/>
    </x:row>
    <x:row r="206">
      <x:c r="A206" s="13" t="str">
        <x:v>Denner</x:v>
      </x:c>
      <x:c r="B206" s="13" t="n">
        <x:v>2027</x:v>
      </x:c>
      <x:c r="C206" s="13" t="str">
        <x:v>T1</x:v>
      </x:c>
      <x:c r="D206" s="24" t="n">
        <x:v>46477</x:v>
      </x:c>
      <x:c r="E206" s="13" t="str">
        <x:v>Lateral-esquerdo</x:v>
      </x:c>
      <x:c r="F206" s="13" t="str">
        <x:v>Corinthians</x:v>
      </x:c>
      <x:c r="G206" s="16"/>
      <x:c r="H206" s="16"/>
      <x:c r="I206" s="16"/>
      <x:c r="J206" s="16"/>
      <x:c r="K206" s="16" t="str">
        <x:f>IF(COUNT(G206,I206)=0,"",AVERAGE(G206,I206))</x:f>
      </x:c>
      <x:c r="L206" s="16" t="str">
        <x:f>IF(COUNT(H206,J206)=0,"",AVERAGE(H206,J206))</x:f>
      </x:c>
      <x:c r="M206" s="16" t="str">
        <x:f>IF(OR(K206="",L206=""),"",L206-K206)</x:f>
      </x:c>
      <x:c r="N206" s="16" t="str">
        <x:f>IF(AND(A206=A205,ISNUMBER(K206),ISNUMBER(K205)),K206-K205,"")</x:f>
      </x:c>
      <x:c r="O206" s="13" t="str">
        <x:v>Sem informação</x:v>
      </x:c>
      <x:c r="P206" s="26"/>
      <x:c r="Q206" s="13"/>
      <x:c r="R206" s="13"/>
      <x:c r="S206" s="13"/>
      <x:c r="T206" s="13"/>
    </x:row>
    <x:row r="207">
      <x:c r="A207" s="13" t="str">
        <x:v>Denner</x:v>
      </x:c>
      <x:c r="B207" s="13" t="n">
        <x:v>2027</x:v>
      </x:c>
      <x:c r="C207" s="13" t="str">
        <x:v>T2</x:v>
      </x:c>
      <x:c r="D207" s="24" t="n">
        <x:v>46568</x:v>
      </x:c>
      <x:c r="E207" s="13" t="str">
        <x:v>Lateral-esquerdo</x:v>
      </x:c>
      <x:c r="F207" s="13" t="str">
        <x:v>Corinthians</x:v>
      </x:c>
      <x:c r="G207" s="16"/>
      <x:c r="H207" s="16"/>
      <x:c r="I207" s="16"/>
      <x:c r="J207" s="16"/>
      <x:c r="K207" s="16" t="str">
        <x:f>IF(COUNT(G207,I207)=0,"",AVERAGE(G207,I207))</x:f>
      </x:c>
      <x:c r="L207" s="16" t="str">
        <x:f>IF(COUNT(H207,J207)=0,"",AVERAGE(H207,J207))</x:f>
      </x:c>
      <x:c r="M207" s="16" t="str">
        <x:f>IF(OR(K207="",L207=""),"",L207-K207)</x:f>
      </x:c>
      <x:c r="N207" s="16" t="str">
        <x:f>IF(AND(A207=A206,ISNUMBER(K207),ISNUMBER(K206)),K207-K206,"")</x:f>
      </x:c>
      <x:c r="O207" s="13" t="str">
        <x:v>Sem informação</x:v>
      </x:c>
      <x:c r="P207" s="26"/>
      <x:c r="Q207" s="13"/>
      <x:c r="R207" s="13"/>
      <x:c r="S207" s="13"/>
      <x:c r="T207" s="13"/>
    </x:row>
    <x:row r="208">
      <x:c r="A208" s="13" t="str">
        <x:v>Denner</x:v>
      </x:c>
      <x:c r="B208" s="13" t="n">
        <x:v>2027</x:v>
      </x:c>
      <x:c r="C208" s="13" t="str">
        <x:v>T3</x:v>
      </x:c>
      <x:c r="D208" s="24" t="n">
        <x:v>46660</x:v>
      </x:c>
      <x:c r="E208" s="13" t="str">
        <x:v>Lateral-esquerdo</x:v>
      </x:c>
      <x:c r="F208" s="13" t="str">
        <x:v>Corinthians</x:v>
      </x:c>
      <x:c r="G208" s="16"/>
      <x:c r="H208" s="16"/>
      <x:c r="I208" s="16"/>
      <x:c r="J208" s="16"/>
      <x:c r="K208" s="16" t="str">
        <x:f>IF(COUNT(G208,I208)=0,"",AVERAGE(G208,I208))</x:f>
      </x:c>
      <x:c r="L208" s="16" t="str">
        <x:f>IF(COUNT(H208,J208)=0,"",AVERAGE(H208,J208))</x:f>
      </x:c>
      <x:c r="M208" s="16" t="str">
        <x:f>IF(OR(K208="",L208=""),"",L208-K208)</x:f>
      </x:c>
      <x:c r="N208" s="16" t="str">
        <x:f>IF(AND(A208=A207,ISNUMBER(K208),ISNUMBER(K207)),K208-K207,"")</x:f>
      </x:c>
      <x:c r="O208" s="13" t="str">
        <x:v>Sem informação</x:v>
      </x:c>
      <x:c r="P208" s="26"/>
      <x:c r="Q208" s="13"/>
      <x:c r="R208" s="13"/>
      <x:c r="S208" s="13"/>
      <x:c r="T208" s="13"/>
    </x:row>
    <x:row r="209">
      <x:c r="A209" s="13" t="str">
        <x:v>Denner</x:v>
      </x:c>
      <x:c r="B209" s="13" t="n">
        <x:v>2027</x:v>
      </x:c>
      <x:c r="C209" s="13" t="str">
        <x:v>T4</x:v>
      </x:c>
      <x:c r="D209" s="24" t="n">
        <x:v>46752</x:v>
      </x:c>
      <x:c r="E209" s="13" t="str">
        <x:v>Lateral-esquerdo</x:v>
      </x:c>
      <x:c r="F209" s="13" t="str">
        <x:v>Corinthians</x:v>
      </x:c>
      <x:c r="G209" s="16"/>
      <x:c r="H209" s="16"/>
      <x:c r="I209" s="16"/>
      <x:c r="J209" s="16"/>
      <x:c r="K209" s="16" t="str">
        <x:f>IF(COUNT(G209,I209)=0,"",AVERAGE(G209,I209))</x:f>
      </x:c>
      <x:c r="L209" s="16" t="str">
        <x:f>IF(COUNT(H209,J209)=0,"",AVERAGE(H209,J209))</x:f>
      </x:c>
      <x:c r="M209" s="16" t="str">
        <x:f>IF(OR(K209="",L209=""),"",L209-K209)</x:f>
      </x:c>
      <x:c r="N209" s="16" t="str">
        <x:f>IF(AND(A209=A208,ISNUMBER(K209),ISNUMBER(K208)),K209-K208,"")</x:f>
      </x:c>
      <x:c r="O209" s="13" t="str">
        <x:v>Sem informação</x:v>
      </x:c>
      <x:c r="P209" s="26"/>
      <x:c r="Q209" s="13"/>
      <x:c r="R209" s="13"/>
      <x:c r="S209" s="13"/>
      <x:c r="T209" s="13"/>
    </x:row>
    <x:row r="210">
      <x:c r="A210" s="13" t="str">
        <x:v>Denner</x:v>
      </x:c>
      <x:c r="B210" s="13" t="n">
        <x:v>2028</x:v>
      </x:c>
      <x:c r="C210" s="13" t="str">
        <x:v>T1</x:v>
      </x:c>
      <x:c r="D210" s="24" t="n">
        <x:v>46843</x:v>
      </x:c>
      <x:c r="E210" s="13" t="str">
        <x:v>Lateral-esquerdo</x:v>
      </x:c>
      <x:c r="F210" s="13" t="str">
        <x:v>Corinthians</x:v>
      </x:c>
      <x:c r="G210" s="16"/>
      <x:c r="H210" s="16"/>
      <x:c r="I210" s="16"/>
      <x:c r="J210" s="16"/>
      <x:c r="K210" s="16" t="str">
        <x:f>IF(COUNT(G210,I210)=0,"",AVERAGE(G210,I210))</x:f>
      </x:c>
      <x:c r="L210" s="16" t="str">
        <x:f>IF(COUNT(H210,J210)=0,"",AVERAGE(H210,J210))</x:f>
      </x:c>
      <x:c r="M210" s="16" t="str">
        <x:f>IF(OR(K210="",L210=""),"",L210-K210)</x:f>
      </x:c>
      <x:c r="N210" s="16" t="str">
        <x:f>IF(AND(A210=A209,ISNUMBER(K210),ISNUMBER(K209)),K210-K209,"")</x:f>
      </x:c>
      <x:c r="O210" s="13" t="str">
        <x:v>Sem informação</x:v>
      </x:c>
      <x:c r="P210" s="26"/>
      <x:c r="Q210" s="13"/>
      <x:c r="R210" s="13"/>
      <x:c r="S210" s="13"/>
      <x:c r="T210" s="13"/>
    </x:row>
    <x:row r="211">
      <x:c r="A211" s="13" t="str">
        <x:v>Denner</x:v>
      </x:c>
      <x:c r="B211" s="13" t="n">
        <x:v>2028</x:v>
      </x:c>
      <x:c r="C211" s="13" t="str">
        <x:v>T2</x:v>
      </x:c>
      <x:c r="D211" s="24" t="n">
        <x:v>46934</x:v>
      </x:c>
      <x:c r="E211" s="13" t="str">
        <x:v>Lateral-esquerdo</x:v>
      </x:c>
      <x:c r="F211" s="13" t="str">
        <x:v>Corinthians</x:v>
      </x:c>
      <x:c r="G211" s="16"/>
      <x:c r="H211" s="16"/>
      <x:c r="I211" s="16"/>
      <x:c r="J211" s="16"/>
      <x:c r="K211" s="16" t="str">
        <x:f>IF(COUNT(G211,I211)=0,"",AVERAGE(G211,I211))</x:f>
      </x:c>
      <x:c r="L211" s="16" t="str">
        <x:f>IF(COUNT(H211,J211)=0,"",AVERAGE(H211,J211))</x:f>
      </x:c>
      <x:c r="M211" s="16" t="str">
        <x:f>IF(OR(K211="",L211=""),"",L211-K211)</x:f>
      </x:c>
      <x:c r="N211" s="16" t="str">
        <x:f>IF(AND(A211=A210,ISNUMBER(K211),ISNUMBER(K210)),K211-K210,"")</x:f>
      </x:c>
      <x:c r="O211" s="13" t="str">
        <x:v>Sem informação</x:v>
      </x:c>
      <x:c r="P211" s="26"/>
      <x:c r="Q211" s="13"/>
      <x:c r="R211" s="13"/>
      <x:c r="S211" s="13"/>
      <x:c r="T211" s="13"/>
    </x:row>
    <x:row r="212">
      <x:c r="A212" s="13" t="str">
        <x:v>Denner</x:v>
      </x:c>
      <x:c r="B212" s="13" t="n">
        <x:v>2028</x:v>
      </x:c>
      <x:c r="C212" s="13" t="str">
        <x:v>T3</x:v>
      </x:c>
      <x:c r="D212" s="24" t="n">
        <x:v>47026</x:v>
      </x:c>
      <x:c r="E212" s="13" t="str">
        <x:v>Lateral-esquerdo</x:v>
      </x:c>
      <x:c r="F212" s="13" t="str">
        <x:v>Corinthians</x:v>
      </x:c>
      <x:c r="G212" s="16"/>
      <x:c r="H212" s="16"/>
      <x:c r="I212" s="16"/>
      <x:c r="J212" s="16"/>
      <x:c r="K212" s="16" t="str">
        <x:f>IF(COUNT(G212,I212)=0,"",AVERAGE(G212,I212))</x:f>
      </x:c>
      <x:c r="L212" s="16" t="str">
        <x:f>IF(COUNT(H212,J212)=0,"",AVERAGE(H212,J212))</x:f>
      </x:c>
      <x:c r="M212" s="16" t="str">
        <x:f>IF(OR(K212="",L212=""),"",L212-K212)</x:f>
      </x:c>
      <x:c r="N212" s="16" t="str">
        <x:f>IF(AND(A212=A211,ISNUMBER(K212),ISNUMBER(K211)),K212-K211,"")</x:f>
      </x:c>
      <x:c r="O212" s="13" t="str">
        <x:v>Sem informação</x:v>
      </x:c>
      <x:c r="P212" s="26"/>
      <x:c r="Q212" s="13"/>
      <x:c r="R212" s="13"/>
      <x:c r="S212" s="13"/>
      <x:c r="T212" s="13"/>
    </x:row>
    <x:row r="213">
      <x:c r="A213" s="13" t="str">
        <x:v>Denner</x:v>
      </x:c>
      <x:c r="B213" s="13" t="n">
        <x:v>2028</x:v>
      </x:c>
      <x:c r="C213" s="13" t="str">
        <x:v>T4</x:v>
      </x:c>
      <x:c r="D213" s="24" t="n">
        <x:v>47118</x:v>
      </x:c>
      <x:c r="E213" s="13" t="str">
        <x:v>Lateral-esquerdo</x:v>
      </x:c>
      <x:c r="F213" s="13" t="str">
        <x:v>Corinthians</x:v>
      </x:c>
      <x:c r="G213" s="16"/>
      <x:c r="H213" s="16"/>
      <x:c r="I213" s="16"/>
      <x:c r="J213" s="16"/>
      <x:c r="K213" s="16" t="str">
        <x:f>IF(COUNT(G213,I213)=0,"",AVERAGE(G213,I213))</x:f>
      </x:c>
      <x:c r="L213" s="16" t="str">
        <x:f>IF(COUNT(H213,J213)=0,"",AVERAGE(H213,J213))</x:f>
      </x:c>
      <x:c r="M213" s="16" t="str">
        <x:f>IF(OR(K213="",L213=""),"",L213-K213)</x:f>
      </x:c>
      <x:c r="N213" s="16" t="str">
        <x:f>IF(AND(A213=A212,ISNUMBER(K213),ISNUMBER(K212)),K213-K212,"")</x:f>
      </x:c>
      <x:c r="O213" s="13" t="str">
        <x:v>Sem informação</x:v>
      </x:c>
      <x:c r="P213" s="26"/>
      <x:c r="Q213" s="13"/>
      <x:c r="R213" s="13"/>
      <x:c r="S213" s="13"/>
      <x:c r="T213" s="13"/>
    </x:row>
    <x:row r="214">
      <x:c r="A214" s="13" t="str">
        <x:v>Denner</x:v>
      </x:c>
      <x:c r="B214" s="13" t="n">
        <x:v>2029</x:v>
      </x:c>
      <x:c r="C214" s="13" t="str">
        <x:v>T1</x:v>
      </x:c>
      <x:c r="D214" s="24" t="n">
        <x:v>47208</x:v>
      </x:c>
      <x:c r="E214" s="13" t="str">
        <x:v>Lateral-esquerdo</x:v>
      </x:c>
      <x:c r="F214" s="13" t="str">
        <x:v>Corinthians</x:v>
      </x:c>
      <x:c r="G214" s="16"/>
      <x:c r="H214" s="16"/>
      <x:c r="I214" s="16"/>
      <x:c r="J214" s="16"/>
      <x:c r="K214" s="16" t="str">
        <x:f>IF(COUNT(G214,I214)=0,"",AVERAGE(G214,I214))</x:f>
      </x:c>
      <x:c r="L214" s="16" t="str">
        <x:f>IF(COUNT(H214,J214)=0,"",AVERAGE(H214,J214))</x:f>
      </x:c>
      <x:c r="M214" s="16" t="str">
        <x:f>IF(OR(K214="",L214=""),"",L214-K214)</x:f>
      </x:c>
      <x:c r="N214" s="16" t="str">
        <x:f>IF(AND(A214=A213,ISNUMBER(K214),ISNUMBER(K213)),K214-K213,"")</x:f>
      </x:c>
      <x:c r="O214" s="13" t="str">
        <x:v>Sem informação</x:v>
      </x:c>
      <x:c r="P214" s="26"/>
      <x:c r="Q214" s="13"/>
      <x:c r="R214" s="13"/>
      <x:c r="S214" s="13"/>
      <x:c r="T214" s="13"/>
    </x:row>
    <x:row r="215">
      <x:c r="A215" s="13" t="str">
        <x:v>Denner</x:v>
      </x:c>
      <x:c r="B215" s="13" t="n">
        <x:v>2029</x:v>
      </x:c>
      <x:c r="C215" s="13" t="str">
        <x:v>T2</x:v>
      </x:c>
      <x:c r="D215" s="24" t="n">
        <x:v>47299</x:v>
      </x:c>
      <x:c r="E215" s="13" t="str">
        <x:v>Lateral-esquerdo</x:v>
      </x:c>
      <x:c r="F215" s="13" t="str">
        <x:v>Corinthians</x:v>
      </x:c>
      <x:c r="G215" s="16"/>
      <x:c r="H215" s="16"/>
      <x:c r="I215" s="16"/>
      <x:c r="J215" s="16"/>
      <x:c r="K215" s="16" t="str">
        <x:f>IF(COUNT(G215,I215)=0,"",AVERAGE(G215,I215))</x:f>
      </x:c>
      <x:c r="L215" s="16" t="str">
        <x:f>IF(COUNT(H215,J215)=0,"",AVERAGE(H215,J215))</x:f>
      </x:c>
      <x:c r="M215" s="16" t="str">
        <x:f>IF(OR(K215="",L215=""),"",L215-K215)</x:f>
      </x:c>
      <x:c r="N215" s="16" t="str">
        <x:f>IF(AND(A215=A214,ISNUMBER(K215),ISNUMBER(K214)),K215-K214,"")</x:f>
      </x:c>
      <x:c r="O215" s="13" t="str">
        <x:v>Sem informação</x:v>
      </x:c>
      <x:c r="P215" s="26"/>
      <x:c r="Q215" s="13"/>
      <x:c r="R215" s="13"/>
      <x:c r="S215" s="13"/>
      <x:c r="T215" s="13"/>
    </x:row>
    <x:row r="216">
      <x:c r="A216" s="13" t="str">
        <x:v>Denner</x:v>
      </x:c>
      <x:c r="B216" s="13" t="n">
        <x:v>2029</x:v>
      </x:c>
      <x:c r="C216" s="13" t="str">
        <x:v>T3</x:v>
      </x:c>
      <x:c r="D216" s="24" t="n">
        <x:v>47391</x:v>
      </x:c>
      <x:c r="E216" s="13" t="str">
        <x:v>Lateral-esquerdo</x:v>
      </x:c>
      <x:c r="F216" s="13" t="str">
        <x:v>Corinthians</x:v>
      </x:c>
      <x:c r="G216" s="16"/>
      <x:c r="H216" s="16"/>
      <x:c r="I216" s="16"/>
      <x:c r="J216" s="16"/>
      <x:c r="K216" s="16" t="str">
        <x:f>IF(COUNT(G216,I216)=0,"",AVERAGE(G216,I216))</x:f>
      </x:c>
      <x:c r="L216" s="16" t="str">
        <x:f>IF(COUNT(H216,J216)=0,"",AVERAGE(H216,J216))</x:f>
      </x:c>
      <x:c r="M216" s="16" t="str">
        <x:f>IF(OR(K216="",L216=""),"",L216-K216)</x:f>
      </x:c>
      <x:c r="N216" s="16" t="str">
        <x:f>IF(AND(A216=A215,ISNUMBER(K216),ISNUMBER(K215)),K216-K215,"")</x:f>
      </x:c>
      <x:c r="O216" s="13" t="str">
        <x:v>Sem informação</x:v>
      </x:c>
      <x:c r="P216" s="26"/>
      <x:c r="Q216" s="13"/>
      <x:c r="R216" s="13"/>
      <x:c r="S216" s="13"/>
      <x:c r="T216" s="13"/>
    </x:row>
    <x:row r="217">
      <x:c r="A217" s="13" t="str">
        <x:v>Denner</x:v>
      </x:c>
      <x:c r="B217" s="13" t="n">
        <x:v>2029</x:v>
      </x:c>
      <x:c r="C217" s="13" t="str">
        <x:v>T4</x:v>
      </x:c>
      <x:c r="D217" s="24" t="n">
        <x:v>47483</x:v>
      </x:c>
      <x:c r="E217" s="13" t="str">
        <x:v>Lateral-esquerdo</x:v>
      </x:c>
      <x:c r="F217" s="13" t="str">
        <x:v>Corinthians</x:v>
      </x:c>
      <x:c r="G217" s="16"/>
      <x:c r="H217" s="16"/>
      <x:c r="I217" s="16"/>
      <x:c r="J217" s="16"/>
      <x:c r="K217" s="16" t="str">
        <x:f>IF(COUNT(G217,I217)=0,"",AVERAGE(G217,I217))</x:f>
      </x:c>
      <x:c r="L217" s="16" t="str">
        <x:f>IF(COUNT(H217,J217)=0,"",AVERAGE(H217,J217))</x:f>
      </x:c>
      <x:c r="M217" s="16" t="str">
        <x:f>IF(OR(K217="",L217=""),"",L217-K217)</x:f>
      </x:c>
      <x:c r="N217" s="16" t="str">
        <x:f>IF(AND(A217=A216,ISNUMBER(K217),ISNUMBER(K216)),K217-K216,"")</x:f>
      </x:c>
      <x:c r="O217" s="13" t="str">
        <x:v>Sem informação</x:v>
      </x:c>
      <x:c r="P217" s="26"/>
      <x:c r="Q217" s="13"/>
      <x:c r="R217" s="13"/>
      <x:c r="S217" s="13"/>
      <x:c r="T217" s="13"/>
    </x:row>
    <x:row r="218">
      <x:c r="A218" s="13" t="str">
        <x:v>Denner</x:v>
      </x:c>
      <x:c r="B218" s="13" t="n">
        <x:v>2030</x:v>
      </x:c>
      <x:c r="C218" s="13" t="str">
        <x:v>T1</x:v>
      </x:c>
      <x:c r="D218" s="24" t="n">
        <x:v>47573</x:v>
      </x:c>
      <x:c r="E218" s="13" t="str">
        <x:v>Lateral-esquerdo</x:v>
      </x:c>
      <x:c r="F218" s="13" t="str">
        <x:v>Corinthians</x:v>
      </x:c>
      <x:c r="G218" s="16"/>
      <x:c r="H218" s="16"/>
      <x:c r="I218" s="16"/>
      <x:c r="J218" s="16"/>
      <x:c r="K218" s="16" t="str">
        <x:f>IF(COUNT(G218,I218)=0,"",AVERAGE(G218,I218))</x:f>
      </x:c>
      <x:c r="L218" s="16" t="str">
        <x:f>IF(COUNT(H218,J218)=0,"",AVERAGE(H218,J218))</x:f>
      </x:c>
      <x:c r="M218" s="16" t="str">
        <x:f>IF(OR(K218="",L218=""),"",L218-K218)</x:f>
      </x:c>
      <x:c r="N218" s="16" t="str">
        <x:f>IF(AND(A218=A217,ISNUMBER(K218),ISNUMBER(K217)),K218-K217,"")</x:f>
      </x:c>
      <x:c r="O218" s="13" t="str">
        <x:v>Sem informação</x:v>
      </x:c>
      <x:c r="P218" s="26"/>
      <x:c r="Q218" s="13"/>
      <x:c r="R218" s="13"/>
      <x:c r="S218" s="13"/>
      <x:c r="T218" s="13"/>
    </x:row>
    <x:row r="219">
      <x:c r="A219" s="13" t="str">
        <x:v>Denner</x:v>
      </x:c>
      <x:c r="B219" s="13" t="n">
        <x:v>2030</x:v>
      </x:c>
      <x:c r="C219" s="13" t="str">
        <x:v>T2</x:v>
      </x:c>
      <x:c r="D219" s="24" t="n">
        <x:v>47664</x:v>
      </x:c>
      <x:c r="E219" s="13" t="str">
        <x:v>Lateral-esquerdo</x:v>
      </x:c>
      <x:c r="F219" s="13" t="str">
        <x:v>Corinthians</x:v>
      </x:c>
      <x:c r="G219" s="16"/>
      <x:c r="H219" s="16"/>
      <x:c r="I219" s="16"/>
      <x:c r="J219" s="16"/>
      <x:c r="K219" s="16" t="str">
        <x:f>IF(COUNT(G219,I219)=0,"",AVERAGE(G219,I219))</x:f>
      </x:c>
      <x:c r="L219" s="16" t="str">
        <x:f>IF(COUNT(H219,J219)=0,"",AVERAGE(H219,J219))</x:f>
      </x:c>
      <x:c r="M219" s="16" t="str">
        <x:f>IF(OR(K219="",L219=""),"",L219-K219)</x:f>
      </x:c>
      <x:c r="N219" s="16" t="str">
        <x:f>IF(AND(A219=A218,ISNUMBER(K219),ISNUMBER(K218)),K219-K218,"")</x:f>
      </x:c>
      <x:c r="O219" s="13" t="str">
        <x:v>Sem informação</x:v>
      </x:c>
      <x:c r="P219" s="26"/>
      <x:c r="Q219" s="13"/>
      <x:c r="R219" s="13"/>
      <x:c r="S219" s="13"/>
      <x:c r="T219" s="13"/>
    </x:row>
    <x:row r="220">
      <x:c r="A220" s="13" t="str">
        <x:v>Denner</x:v>
      </x:c>
      <x:c r="B220" s="13" t="n">
        <x:v>2030</x:v>
      </x:c>
      <x:c r="C220" s="13" t="str">
        <x:v>T3</x:v>
      </x:c>
      <x:c r="D220" s="24" t="n">
        <x:v>47756</x:v>
      </x:c>
      <x:c r="E220" s="13" t="str">
        <x:v>Lateral-esquerdo</x:v>
      </x:c>
      <x:c r="F220" s="13" t="str">
        <x:v>Corinthians</x:v>
      </x:c>
      <x:c r="G220" s="16"/>
      <x:c r="H220" s="16"/>
      <x:c r="I220" s="16"/>
      <x:c r="J220" s="16"/>
      <x:c r="K220" s="16" t="str">
        <x:f>IF(COUNT(G220,I220)=0,"",AVERAGE(G220,I220))</x:f>
      </x:c>
      <x:c r="L220" s="16" t="str">
        <x:f>IF(COUNT(H220,J220)=0,"",AVERAGE(H220,J220))</x:f>
      </x:c>
      <x:c r="M220" s="16" t="str">
        <x:f>IF(OR(K220="",L220=""),"",L220-K220)</x:f>
      </x:c>
      <x:c r="N220" s="16" t="str">
        <x:f>IF(AND(A220=A219,ISNUMBER(K220),ISNUMBER(K219)),K220-K219,"")</x:f>
      </x:c>
      <x:c r="O220" s="13" t="str">
        <x:v>Sem informação</x:v>
      </x:c>
      <x:c r="P220" s="26"/>
      <x:c r="Q220" s="13"/>
      <x:c r="R220" s="13"/>
      <x:c r="S220" s="13"/>
      <x:c r="T220" s="13"/>
    </x:row>
    <x:row r="221">
      <x:c r="A221" s="13" t="str">
        <x:v>Denner</x:v>
      </x:c>
      <x:c r="B221" s="13" t="n">
        <x:v>2030</x:v>
      </x:c>
      <x:c r="C221" s="13" t="str">
        <x:v>T4</x:v>
      </x:c>
      <x:c r="D221" s="24" t="n">
        <x:v>47848</x:v>
      </x:c>
      <x:c r="E221" s="13" t="str">
        <x:v>Lateral-esquerdo</x:v>
      </x:c>
      <x:c r="F221" s="13" t="str">
        <x:v>Corinthians</x:v>
      </x:c>
      <x:c r="G221" s="16"/>
      <x:c r="H221" s="16"/>
      <x:c r="I221" s="16"/>
      <x:c r="J221" s="16"/>
      <x:c r="K221" s="16" t="str">
        <x:f>IF(COUNT(G221,I221)=0,"",AVERAGE(G221,I221))</x:f>
      </x:c>
      <x:c r="L221" s="16" t="str">
        <x:f>IF(COUNT(H221,J221)=0,"",AVERAGE(H221,J221))</x:f>
      </x:c>
      <x:c r="M221" s="16" t="str">
        <x:f>IF(OR(K221="",L221=""),"",L221-K221)</x:f>
      </x:c>
      <x:c r="N221" s="16" t="str">
        <x:f>IF(AND(A221=A220,ISNUMBER(K221),ISNUMBER(K220)),K221-K220,"")</x:f>
      </x:c>
      <x:c r="O221" s="13" t="str">
        <x:v>Sem informação</x:v>
      </x:c>
      <x:c r="P221" s="26"/>
      <x:c r="Q221" s="13"/>
      <x:c r="R221" s="13"/>
      <x:c r="S221" s="13"/>
      <x:c r="T221" s="13"/>
    </x:row>
    <x:row r="222">
      <x:c r="A222" s="13" t="str">
        <x:v>Diego Callai</x:v>
      </x:c>
      <x:c r="B222" s="13" t="n">
        <x:v>2026</x:v>
      </x:c>
      <x:c r="C222" s="13" t="str">
        <x:v>T1</x:v>
      </x:c>
      <x:c r="D222" s="24" t="n">
        <x:v>46112</x:v>
      </x:c>
      <x:c r="E222" s="13" t="str">
        <x:v>Goleiro</x:v>
      </x:c>
      <x:c r="F222" s="13" t="str">
        <x:v>Sporting CP B</x:v>
      </x:c>
      <x:c r="G222" s="16"/>
      <x:c r="H222" s="16"/>
      <x:c r="I222" s="16"/>
      <x:c r="J222" s="16"/>
      <x:c r="K222" s="16" t="str">
        <x:f>IF(COUNT(G222,I222)=0,"",AVERAGE(G222,I222))</x:f>
      </x:c>
      <x:c r="L222" s="16" t="str">
        <x:f>IF(COUNT(H222,J222)=0,"",AVERAGE(H222,J222))</x:f>
      </x:c>
      <x:c r="M222" s="16" t="str">
        <x:f>IF(OR(K222="",L222=""),"",L222-K222)</x:f>
      </x:c>
      <x:c r="N222" s="16" t="str">
        <x:f>IF(AND(A222=A221,ISNUMBER(K222),ISNUMBER(K221)),K222-K221,"")</x:f>
      </x:c>
      <x:c r="O222" s="13" t="str">
        <x:v>Sem informação</x:v>
      </x:c>
      <x:c r="P222" s="26"/>
      <x:c r="Q222" s="13"/>
      <x:c r="R222" s="13"/>
      <x:c r="S222" s="13"/>
      <x:c r="T222" s="13"/>
    </x:row>
    <x:row r="223">
      <x:c r="A223" s="13" t="str">
        <x:v>Diego Callai</x:v>
      </x:c>
      <x:c r="B223" s="13" t="n">
        <x:v>2026</x:v>
      </x:c>
      <x:c r="C223" s="13" t="str">
        <x:v>T2</x:v>
      </x:c>
      <x:c r="D223" s="24" t="n">
        <x:v>46203</x:v>
      </x:c>
      <x:c r="E223" s="13" t="str">
        <x:v>Goleiro</x:v>
      </x:c>
      <x:c r="F223" s="13" t="str">
        <x:v>Sporting CP B</x:v>
      </x:c>
      <x:c r="G223" s="16"/>
      <x:c r="H223" s="16"/>
      <x:c r="I223" s="16"/>
      <x:c r="J223" s="16"/>
      <x:c r="K223" s="16" t="str">
        <x:f>IF(COUNT(G223,I223)=0,"",AVERAGE(G223,I223))</x:f>
      </x:c>
      <x:c r="L223" s="16" t="str">
        <x:f>IF(COUNT(H223,J223)=0,"",AVERAGE(H223,J223))</x:f>
      </x:c>
      <x:c r="M223" s="16" t="str">
        <x:f>IF(OR(K223="",L223=""),"",L223-K223)</x:f>
      </x:c>
      <x:c r="N223" s="16" t="str">
        <x:f>IF(AND(A223=A222,ISNUMBER(K223),ISNUMBER(K222)),K223-K222,"")</x:f>
      </x:c>
      <x:c r="O223" s="13" t="str">
        <x:v>Sem informação</x:v>
      </x:c>
      <x:c r="P223" s="26"/>
      <x:c r="Q223" s="13"/>
      <x:c r="R223" s="13"/>
      <x:c r="S223" s="13"/>
      <x:c r="T223" s="13"/>
    </x:row>
    <x:row r="224">
      <x:c r="A224" s="13" t="str">
        <x:v>Diego Callai</x:v>
      </x:c>
      <x:c r="B224" s="13" t="n">
        <x:v>2026</x:v>
      </x:c>
      <x:c r="C224" s="13" t="str">
        <x:v>T3</x:v>
      </x:c>
      <x:c r="D224" s="24" t="n">
        <x:v>46295</x:v>
      </x:c>
      <x:c r="E224" s="13" t="str">
        <x:v>Goleiro</x:v>
      </x:c>
      <x:c r="F224" s="13" t="str">
        <x:v>Sporting CP B</x:v>
      </x:c>
      <x:c r="G224" s="16"/>
      <x:c r="H224" s="16"/>
      <x:c r="I224" s="16"/>
      <x:c r="J224" s="16"/>
      <x:c r="K224" s="16" t="str">
        <x:f>IF(COUNT(G224,I224)=0,"",AVERAGE(G224,I224))</x:f>
      </x:c>
      <x:c r="L224" s="16" t="str">
        <x:f>IF(COUNT(H224,J224)=0,"",AVERAGE(H224,J224))</x:f>
      </x:c>
      <x:c r="M224" s="16" t="str">
        <x:f>IF(OR(K224="",L224=""),"",L224-K224)</x:f>
      </x:c>
      <x:c r="N224" s="16" t="str">
        <x:f>IF(AND(A224=A223,ISNUMBER(K224),ISNUMBER(K223)),K224-K223,"")</x:f>
      </x:c>
      <x:c r="O224" s="13" t="str">
        <x:v>Sem informação</x:v>
      </x:c>
      <x:c r="P224" s="26"/>
      <x:c r="Q224" s="13"/>
      <x:c r="R224" s="13"/>
      <x:c r="S224" s="13"/>
      <x:c r="T224" s="13"/>
    </x:row>
    <x:row r="225">
      <x:c r="A225" s="13" t="str">
        <x:v>Diego Callai</x:v>
      </x:c>
      <x:c r="B225" s="13" t="n">
        <x:v>2026</x:v>
      </x:c>
      <x:c r="C225" s="13" t="str">
        <x:v>T4</x:v>
      </x:c>
      <x:c r="D225" s="24" t="n">
        <x:v>46387</x:v>
      </x:c>
      <x:c r="E225" s="13" t="str">
        <x:v>Goleiro</x:v>
      </x:c>
      <x:c r="F225" s="13" t="str">
        <x:v>Sporting CP B</x:v>
      </x:c>
      <x:c r="G225" s="16"/>
      <x:c r="H225" s="16"/>
      <x:c r="I225" s="16"/>
      <x:c r="J225" s="16"/>
      <x:c r="K225" s="16" t="str">
        <x:f>IF(COUNT(G225,I225)=0,"",AVERAGE(G225,I225))</x:f>
      </x:c>
      <x:c r="L225" s="16" t="str">
        <x:f>IF(COUNT(H225,J225)=0,"",AVERAGE(H225,J225))</x:f>
      </x:c>
      <x:c r="M225" s="16" t="str">
        <x:f>IF(OR(K225="",L225=""),"",L225-K225)</x:f>
      </x:c>
      <x:c r="N225" s="16" t="str">
        <x:f>IF(AND(A225=A224,ISNUMBER(K225),ISNUMBER(K224)),K225-K224,"")</x:f>
      </x:c>
      <x:c r="O225" s="13" t="str">
        <x:v>Sem informação</x:v>
      </x:c>
      <x:c r="P225" s="26"/>
      <x:c r="Q225" s="13"/>
      <x:c r="R225" s="13"/>
      <x:c r="S225" s="13"/>
      <x:c r="T225" s="13"/>
    </x:row>
    <x:row r="226">
      <x:c r="A226" s="13" t="str">
        <x:v>Diego Callai</x:v>
      </x:c>
      <x:c r="B226" s="13" t="n">
        <x:v>2027</x:v>
      </x:c>
      <x:c r="C226" s="13" t="str">
        <x:v>T1</x:v>
      </x:c>
      <x:c r="D226" s="24" t="n">
        <x:v>46477</x:v>
      </x:c>
      <x:c r="E226" s="13" t="str">
        <x:v>Goleiro</x:v>
      </x:c>
      <x:c r="F226" s="13" t="str">
        <x:v>Sporting CP B</x:v>
      </x:c>
      <x:c r="G226" s="16"/>
      <x:c r="H226" s="16"/>
      <x:c r="I226" s="16"/>
      <x:c r="J226" s="16"/>
      <x:c r="K226" s="16" t="str">
        <x:f>IF(COUNT(G226,I226)=0,"",AVERAGE(G226,I226))</x:f>
      </x:c>
      <x:c r="L226" s="16" t="str">
        <x:f>IF(COUNT(H226,J226)=0,"",AVERAGE(H226,J226))</x:f>
      </x:c>
      <x:c r="M226" s="16" t="str">
        <x:f>IF(OR(K226="",L226=""),"",L226-K226)</x:f>
      </x:c>
      <x:c r="N226" s="16" t="str">
        <x:f>IF(AND(A226=A225,ISNUMBER(K226),ISNUMBER(K225)),K226-K225,"")</x:f>
      </x:c>
      <x:c r="O226" s="13" t="str">
        <x:v>Sem informação</x:v>
      </x:c>
      <x:c r="P226" s="26"/>
      <x:c r="Q226" s="13"/>
      <x:c r="R226" s="13"/>
      <x:c r="S226" s="13"/>
      <x:c r="T226" s="13"/>
    </x:row>
    <x:row r="227">
      <x:c r="A227" s="13" t="str">
        <x:v>Diego Callai</x:v>
      </x:c>
      <x:c r="B227" s="13" t="n">
        <x:v>2027</x:v>
      </x:c>
      <x:c r="C227" s="13" t="str">
        <x:v>T2</x:v>
      </x:c>
      <x:c r="D227" s="24" t="n">
        <x:v>46568</x:v>
      </x:c>
      <x:c r="E227" s="13" t="str">
        <x:v>Goleiro</x:v>
      </x:c>
      <x:c r="F227" s="13" t="str">
        <x:v>Sporting CP B</x:v>
      </x:c>
      <x:c r="G227" s="16"/>
      <x:c r="H227" s="16"/>
      <x:c r="I227" s="16"/>
      <x:c r="J227" s="16"/>
      <x:c r="K227" s="16" t="str">
        <x:f>IF(COUNT(G227,I227)=0,"",AVERAGE(G227,I227))</x:f>
      </x:c>
      <x:c r="L227" s="16" t="str">
        <x:f>IF(COUNT(H227,J227)=0,"",AVERAGE(H227,J227))</x:f>
      </x:c>
      <x:c r="M227" s="16" t="str">
        <x:f>IF(OR(K227="",L227=""),"",L227-K227)</x:f>
      </x:c>
      <x:c r="N227" s="16" t="str">
        <x:f>IF(AND(A227=A226,ISNUMBER(K227),ISNUMBER(K226)),K227-K226,"")</x:f>
      </x:c>
      <x:c r="O227" s="13" t="str">
        <x:v>Sem informação</x:v>
      </x:c>
      <x:c r="P227" s="26"/>
      <x:c r="Q227" s="13"/>
      <x:c r="R227" s="13"/>
      <x:c r="S227" s="13"/>
      <x:c r="T227" s="13"/>
    </x:row>
    <x:row r="228">
      <x:c r="A228" s="13" t="str">
        <x:v>Diego Callai</x:v>
      </x:c>
      <x:c r="B228" s="13" t="n">
        <x:v>2027</x:v>
      </x:c>
      <x:c r="C228" s="13" t="str">
        <x:v>T3</x:v>
      </x:c>
      <x:c r="D228" s="24" t="n">
        <x:v>46660</x:v>
      </x:c>
      <x:c r="E228" s="13" t="str">
        <x:v>Goleiro</x:v>
      </x:c>
      <x:c r="F228" s="13" t="str">
        <x:v>Sporting CP B</x:v>
      </x:c>
      <x:c r="G228" s="16"/>
      <x:c r="H228" s="16"/>
      <x:c r="I228" s="16"/>
      <x:c r="J228" s="16"/>
      <x:c r="K228" s="16" t="str">
        <x:f>IF(COUNT(G228,I228)=0,"",AVERAGE(G228,I228))</x:f>
      </x:c>
      <x:c r="L228" s="16" t="str">
        <x:f>IF(COUNT(H228,J228)=0,"",AVERAGE(H228,J228))</x:f>
      </x:c>
      <x:c r="M228" s="16" t="str">
        <x:f>IF(OR(K228="",L228=""),"",L228-K228)</x:f>
      </x:c>
      <x:c r="N228" s="16" t="str">
        <x:f>IF(AND(A228=A227,ISNUMBER(K228),ISNUMBER(K227)),K228-K227,"")</x:f>
      </x:c>
      <x:c r="O228" s="13" t="str">
        <x:v>Sem informação</x:v>
      </x:c>
      <x:c r="P228" s="26"/>
      <x:c r="Q228" s="13"/>
      <x:c r="R228" s="13"/>
      <x:c r="S228" s="13"/>
      <x:c r="T228" s="13"/>
    </x:row>
    <x:row r="229">
      <x:c r="A229" s="13" t="str">
        <x:v>Diego Callai</x:v>
      </x:c>
      <x:c r="B229" s="13" t="n">
        <x:v>2027</x:v>
      </x:c>
      <x:c r="C229" s="13" t="str">
        <x:v>T4</x:v>
      </x:c>
      <x:c r="D229" s="24" t="n">
        <x:v>46752</x:v>
      </x:c>
      <x:c r="E229" s="13" t="str">
        <x:v>Goleiro</x:v>
      </x:c>
      <x:c r="F229" s="13" t="str">
        <x:v>Sporting CP B</x:v>
      </x:c>
      <x:c r="G229" s="16"/>
      <x:c r="H229" s="16"/>
      <x:c r="I229" s="16"/>
      <x:c r="J229" s="16"/>
      <x:c r="K229" s="16" t="str">
        <x:f>IF(COUNT(G229,I229)=0,"",AVERAGE(G229,I229))</x:f>
      </x:c>
      <x:c r="L229" s="16" t="str">
        <x:f>IF(COUNT(H229,J229)=0,"",AVERAGE(H229,J229))</x:f>
      </x:c>
      <x:c r="M229" s="16" t="str">
        <x:f>IF(OR(K229="",L229=""),"",L229-K229)</x:f>
      </x:c>
      <x:c r="N229" s="16" t="str">
        <x:f>IF(AND(A229=A228,ISNUMBER(K229),ISNUMBER(K228)),K229-K228,"")</x:f>
      </x:c>
      <x:c r="O229" s="13" t="str">
        <x:v>Sem informação</x:v>
      </x:c>
      <x:c r="P229" s="26"/>
      <x:c r="Q229" s="13"/>
      <x:c r="R229" s="13"/>
      <x:c r="S229" s="13"/>
      <x:c r="T229" s="13"/>
    </x:row>
    <x:row r="230">
      <x:c r="A230" s="13" t="str">
        <x:v>Diego Callai</x:v>
      </x:c>
      <x:c r="B230" s="13" t="n">
        <x:v>2028</x:v>
      </x:c>
      <x:c r="C230" s="13" t="str">
        <x:v>T1</x:v>
      </x:c>
      <x:c r="D230" s="24" t="n">
        <x:v>46843</x:v>
      </x:c>
      <x:c r="E230" s="13" t="str">
        <x:v>Goleiro</x:v>
      </x:c>
      <x:c r="F230" s="13" t="str">
        <x:v>Sporting CP B</x:v>
      </x:c>
      <x:c r="G230" s="16"/>
      <x:c r="H230" s="16"/>
      <x:c r="I230" s="16"/>
      <x:c r="J230" s="16"/>
      <x:c r="K230" s="16" t="str">
        <x:f>IF(COUNT(G230,I230)=0,"",AVERAGE(G230,I230))</x:f>
      </x:c>
      <x:c r="L230" s="16" t="str">
        <x:f>IF(COUNT(H230,J230)=0,"",AVERAGE(H230,J230))</x:f>
      </x:c>
      <x:c r="M230" s="16" t="str">
        <x:f>IF(OR(K230="",L230=""),"",L230-K230)</x:f>
      </x:c>
      <x:c r="N230" s="16" t="str">
        <x:f>IF(AND(A230=A229,ISNUMBER(K230),ISNUMBER(K229)),K230-K229,"")</x:f>
      </x:c>
      <x:c r="O230" s="13" t="str">
        <x:v>Sem informação</x:v>
      </x:c>
      <x:c r="P230" s="26"/>
      <x:c r="Q230" s="13"/>
      <x:c r="R230" s="13"/>
      <x:c r="S230" s="13"/>
      <x:c r="T230" s="13"/>
    </x:row>
    <x:row r="231">
      <x:c r="A231" s="13" t="str">
        <x:v>Diego Callai</x:v>
      </x:c>
      <x:c r="B231" s="13" t="n">
        <x:v>2028</x:v>
      </x:c>
      <x:c r="C231" s="13" t="str">
        <x:v>T2</x:v>
      </x:c>
      <x:c r="D231" s="24" t="n">
        <x:v>46934</x:v>
      </x:c>
      <x:c r="E231" s="13" t="str">
        <x:v>Goleiro</x:v>
      </x:c>
      <x:c r="F231" s="13" t="str">
        <x:v>Sporting CP B</x:v>
      </x:c>
      <x:c r="G231" s="16"/>
      <x:c r="H231" s="16"/>
      <x:c r="I231" s="16"/>
      <x:c r="J231" s="16"/>
      <x:c r="K231" s="16" t="str">
        <x:f>IF(COUNT(G231,I231)=0,"",AVERAGE(G231,I231))</x:f>
      </x:c>
      <x:c r="L231" s="16" t="str">
        <x:f>IF(COUNT(H231,J231)=0,"",AVERAGE(H231,J231))</x:f>
      </x:c>
      <x:c r="M231" s="16" t="str">
        <x:f>IF(OR(K231="",L231=""),"",L231-K231)</x:f>
      </x:c>
      <x:c r="N231" s="16" t="str">
        <x:f>IF(AND(A231=A230,ISNUMBER(K231),ISNUMBER(K230)),K231-K230,"")</x:f>
      </x:c>
      <x:c r="O231" s="13" t="str">
        <x:v>Sem informação</x:v>
      </x:c>
      <x:c r="P231" s="26"/>
      <x:c r="Q231" s="13"/>
      <x:c r="R231" s="13"/>
      <x:c r="S231" s="13"/>
      <x:c r="T231" s="13"/>
    </x:row>
    <x:row r="232">
      <x:c r="A232" s="13" t="str">
        <x:v>Diego Callai</x:v>
      </x:c>
      <x:c r="B232" s="13" t="n">
        <x:v>2028</x:v>
      </x:c>
      <x:c r="C232" s="13" t="str">
        <x:v>T3</x:v>
      </x:c>
      <x:c r="D232" s="24" t="n">
        <x:v>47026</x:v>
      </x:c>
      <x:c r="E232" s="13" t="str">
        <x:v>Goleiro</x:v>
      </x:c>
      <x:c r="F232" s="13" t="str">
        <x:v>Sporting CP B</x:v>
      </x:c>
      <x:c r="G232" s="16"/>
      <x:c r="H232" s="16"/>
      <x:c r="I232" s="16"/>
      <x:c r="J232" s="16"/>
      <x:c r="K232" s="16" t="str">
        <x:f>IF(COUNT(G232,I232)=0,"",AVERAGE(G232,I232))</x:f>
      </x:c>
      <x:c r="L232" s="16" t="str">
        <x:f>IF(COUNT(H232,J232)=0,"",AVERAGE(H232,J232))</x:f>
      </x:c>
      <x:c r="M232" s="16" t="str">
        <x:f>IF(OR(K232="",L232=""),"",L232-K232)</x:f>
      </x:c>
      <x:c r="N232" s="16" t="str">
        <x:f>IF(AND(A232=A231,ISNUMBER(K232),ISNUMBER(K231)),K232-K231,"")</x:f>
      </x:c>
      <x:c r="O232" s="13" t="str">
        <x:v>Sem informação</x:v>
      </x:c>
      <x:c r="P232" s="26"/>
      <x:c r="Q232" s="13"/>
      <x:c r="R232" s="13"/>
      <x:c r="S232" s="13"/>
      <x:c r="T232" s="13"/>
    </x:row>
    <x:row r="233">
      <x:c r="A233" s="13" t="str">
        <x:v>Diego Callai</x:v>
      </x:c>
      <x:c r="B233" s="13" t="n">
        <x:v>2028</x:v>
      </x:c>
      <x:c r="C233" s="13" t="str">
        <x:v>T4</x:v>
      </x:c>
      <x:c r="D233" s="24" t="n">
        <x:v>47118</x:v>
      </x:c>
      <x:c r="E233" s="13" t="str">
        <x:v>Goleiro</x:v>
      </x:c>
      <x:c r="F233" s="13" t="str">
        <x:v>Sporting CP B</x:v>
      </x:c>
      <x:c r="G233" s="16"/>
      <x:c r="H233" s="16"/>
      <x:c r="I233" s="16"/>
      <x:c r="J233" s="16"/>
      <x:c r="K233" s="16" t="str">
        <x:f>IF(COUNT(G233,I233)=0,"",AVERAGE(G233,I233))</x:f>
      </x:c>
      <x:c r="L233" s="16" t="str">
        <x:f>IF(COUNT(H233,J233)=0,"",AVERAGE(H233,J233))</x:f>
      </x:c>
      <x:c r="M233" s="16" t="str">
        <x:f>IF(OR(K233="",L233=""),"",L233-K233)</x:f>
      </x:c>
      <x:c r="N233" s="16" t="str">
        <x:f>IF(AND(A233=A232,ISNUMBER(K233),ISNUMBER(K232)),K233-K232,"")</x:f>
      </x:c>
      <x:c r="O233" s="13" t="str">
        <x:v>Sem informação</x:v>
      </x:c>
      <x:c r="P233" s="26"/>
      <x:c r="Q233" s="13"/>
      <x:c r="R233" s="13"/>
      <x:c r="S233" s="13"/>
      <x:c r="T233" s="13"/>
    </x:row>
    <x:row r="234">
      <x:c r="A234" s="13" t="str">
        <x:v>Diego Callai</x:v>
      </x:c>
      <x:c r="B234" s="13" t="n">
        <x:v>2029</x:v>
      </x:c>
      <x:c r="C234" s="13" t="str">
        <x:v>T1</x:v>
      </x:c>
      <x:c r="D234" s="24" t="n">
        <x:v>47208</x:v>
      </x:c>
      <x:c r="E234" s="13" t="str">
        <x:v>Goleiro</x:v>
      </x:c>
      <x:c r="F234" s="13" t="str">
        <x:v>Sporting CP B</x:v>
      </x:c>
      <x:c r="G234" s="16"/>
      <x:c r="H234" s="16"/>
      <x:c r="I234" s="16"/>
      <x:c r="J234" s="16"/>
      <x:c r="K234" s="16" t="str">
        <x:f>IF(COUNT(G234,I234)=0,"",AVERAGE(G234,I234))</x:f>
      </x:c>
      <x:c r="L234" s="16" t="str">
        <x:f>IF(COUNT(H234,J234)=0,"",AVERAGE(H234,J234))</x:f>
      </x:c>
      <x:c r="M234" s="16" t="str">
        <x:f>IF(OR(K234="",L234=""),"",L234-K234)</x:f>
      </x:c>
      <x:c r="N234" s="16" t="str">
        <x:f>IF(AND(A234=A233,ISNUMBER(K234),ISNUMBER(K233)),K234-K233,"")</x:f>
      </x:c>
      <x:c r="O234" s="13" t="str">
        <x:v>Sem informação</x:v>
      </x:c>
      <x:c r="P234" s="26"/>
      <x:c r="Q234" s="13"/>
      <x:c r="R234" s="13"/>
      <x:c r="S234" s="13"/>
      <x:c r="T234" s="13"/>
    </x:row>
    <x:row r="235">
      <x:c r="A235" s="13" t="str">
        <x:v>Diego Callai</x:v>
      </x:c>
      <x:c r="B235" s="13" t="n">
        <x:v>2029</x:v>
      </x:c>
      <x:c r="C235" s="13" t="str">
        <x:v>T2</x:v>
      </x:c>
      <x:c r="D235" s="24" t="n">
        <x:v>47299</x:v>
      </x:c>
      <x:c r="E235" s="13" t="str">
        <x:v>Goleiro</x:v>
      </x:c>
      <x:c r="F235" s="13" t="str">
        <x:v>Sporting CP B</x:v>
      </x:c>
      <x:c r="G235" s="16"/>
      <x:c r="H235" s="16"/>
      <x:c r="I235" s="16"/>
      <x:c r="J235" s="16"/>
      <x:c r="K235" s="16" t="str">
        <x:f>IF(COUNT(G235,I235)=0,"",AVERAGE(G235,I235))</x:f>
      </x:c>
      <x:c r="L235" s="16" t="str">
        <x:f>IF(COUNT(H235,J235)=0,"",AVERAGE(H235,J235))</x:f>
      </x:c>
      <x:c r="M235" s="16" t="str">
        <x:f>IF(OR(K235="",L235=""),"",L235-K235)</x:f>
      </x:c>
      <x:c r="N235" s="16" t="str">
        <x:f>IF(AND(A235=A234,ISNUMBER(K235),ISNUMBER(K234)),K235-K234,"")</x:f>
      </x:c>
      <x:c r="O235" s="13" t="str">
        <x:v>Sem informação</x:v>
      </x:c>
      <x:c r="P235" s="26"/>
      <x:c r="Q235" s="13"/>
      <x:c r="R235" s="13"/>
      <x:c r="S235" s="13"/>
      <x:c r="T235" s="13"/>
    </x:row>
    <x:row r="236">
      <x:c r="A236" s="13" t="str">
        <x:v>Diego Callai</x:v>
      </x:c>
      <x:c r="B236" s="13" t="n">
        <x:v>2029</x:v>
      </x:c>
      <x:c r="C236" s="13" t="str">
        <x:v>T3</x:v>
      </x:c>
      <x:c r="D236" s="24" t="n">
        <x:v>47391</x:v>
      </x:c>
      <x:c r="E236" s="13" t="str">
        <x:v>Goleiro</x:v>
      </x:c>
      <x:c r="F236" s="13" t="str">
        <x:v>Sporting CP B</x:v>
      </x:c>
      <x:c r="G236" s="16"/>
      <x:c r="H236" s="16"/>
      <x:c r="I236" s="16"/>
      <x:c r="J236" s="16"/>
      <x:c r="K236" s="16" t="str">
        <x:f>IF(COUNT(G236,I236)=0,"",AVERAGE(G236,I236))</x:f>
      </x:c>
      <x:c r="L236" s="16" t="str">
        <x:f>IF(COUNT(H236,J236)=0,"",AVERAGE(H236,J236))</x:f>
      </x:c>
      <x:c r="M236" s="16" t="str">
        <x:f>IF(OR(K236="",L236=""),"",L236-K236)</x:f>
      </x:c>
      <x:c r="N236" s="16" t="str">
        <x:f>IF(AND(A236=A235,ISNUMBER(K236),ISNUMBER(K235)),K236-K235,"")</x:f>
      </x:c>
      <x:c r="O236" s="13" t="str">
        <x:v>Sem informação</x:v>
      </x:c>
      <x:c r="P236" s="26"/>
      <x:c r="Q236" s="13"/>
      <x:c r="R236" s="13"/>
      <x:c r="S236" s="13"/>
      <x:c r="T236" s="13"/>
    </x:row>
    <x:row r="237">
      <x:c r="A237" s="13" t="str">
        <x:v>Diego Callai</x:v>
      </x:c>
      <x:c r="B237" s="13" t="n">
        <x:v>2029</x:v>
      </x:c>
      <x:c r="C237" s="13" t="str">
        <x:v>T4</x:v>
      </x:c>
      <x:c r="D237" s="24" t="n">
        <x:v>47483</x:v>
      </x:c>
      <x:c r="E237" s="13" t="str">
        <x:v>Goleiro</x:v>
      </x:c>
      <x:c r="F237" s="13" t="str">
        <x:v>Sporting CP B</x:v>
      </x:c>
      <x:c r="G237" s="16"/>
      <x:c r="H237" s="16"/>
      <x:c r="I237" s="16"/>
      <x:c r="J237" s="16"/>
      <x:c r="K237" s="16" t="str">
        <x:f>IF(COUNT(G237,I237)=0,"",AVERAGE(G237,I237))</x:f>
      </x:c>
      <x:c r="L237" s="16" t="str">
        <x:f>IF(COUNT(H237,J237)=0,"",AVERAGE(H237,J237))</x:f>
      </x:c>
      <x:c r="M237" s="16" t="str">
        <x:f>IF(OR(K237="",L237=""),"",L237-K237)</x:f>
      </x:c>
      <x:c r="N237" s="16" t="str">
        <x:f>IF(AND(A237=A236,ISNUMBER(K237),ISNUMBER(K236)),K237-K236,"")</x:f>
      </x:c>
      <x:c r="O237" s="13" t="str">
        <x:v>Sem informação</x:v>
      </x:c>
      <x:c r="P237" s="26"/>
      <x:c r="Q237" s="13"/>
      <x:c r="R237" s="13"/>
      <x:c r="S237" s="13"/>
      <x:c r="T237" s="13"/>
    </x:row>
    <x:row r="238">
      <x:c r="A238" s="13" t="str">
        <x:v>Diego Callai</x:v>
      </x:c>
      <x:c r="B238" s="13" t="n">
        <x:v>2030</x:v>
      </x:c>
      <x:c r="C238" s="13" t="str">
        <x:v>T1</x:v>
      </x:c>
      <x:c r="D238" s="24" t="n">
        <x:v>47573</x:v>
      </x:c>
      <x:c r="E238" s="13" t="str">
        <x:v>Goleiro</x:v>
      </x:c>
      <x:c r="F238" s="13" t="str">
        <x:v>Sporting CP B</x:v>
      </x:c>
      <x:c r="G238" s="16"/>
      <x:c r="H238" s="16"/>
      <x:c r="I238" s="16"/>
      <x:c r="J238" s="16"/>
      <x:c r="K238" s="16" t="str">
        <x:f>IF(COUNT(G238,I238)=0,"",AVERAGE(G238,I238))</x:f>
      </x:c>
      <x:c r="L238" s="16" t="str">
        <x:f>IF(COUNT(H238,J238)=0,"",AVERAGE(H238,J238))</x:f>
      </x:c>
      <x:c r="M238" s="16" t="str">
        <x:f>IF(OR(K238="",L238=""),"",L238-K238)</x:f>
      </x:c>
      <x:c r="N238" s="16" t="str">
        <x:f>IF(AND(A238=A237,ISNUMBER(K238),ISNUMBER(K237)),K238-K237,"")</x:f>
      </x:c>
      <x:c r="O238" s="13" t="str">
        <x:v>Sem informação</x:v>
      </x:c>
      <x:c r="P238" s="26"/>
      <x:c r="Q238" s="13"/>
      <x:c r="R238" s="13"/>
      <x:c r="S238" s="13"/>
      <x:c r="T238" s="13"/>
    </x:row>
    <x:row r="239">
      <x:c r="A239" s="13" t="str">
        <x:v>Diego Callai</x:v>
      </x:c>
      <x:c r="B239" s="13" t="n">
        <x:v>2030</x:v>
      </x:c>
      <x:c r="C239" s="13" t="str">
        <x:v>T2</x:v>
      </x:c>
      <x:c r="D239" s="24" t="n">
        <x:v>47664</x:v>
      </x:c>
      <x:c r="E239" s="13" t="str">
        <x:v>Goleiro</x:v>
      </x:c>
      <x:c r="F239" s="13" t="str">
        <x:v>Sporting CP B</x:v>
      </x:c>
      <x:c r="G239" s="16"/>
      <x:c r="H239" s="16"/>
      <x:c r="I239" s="16"/>
      <x:c r="J239" s="16"/>
      <x:c r="K239" s="16" t="str">
        <x:f>IF(COUNT(G239,I239)=0,"",AVERAGE(G239,I239))</x:f>
      </x:c>
      <x:c r="L239" s="16" t="str">
        <x:f>IF(COUNT(H239,J239)=0,"",AVERAGE(H239,J239))</x:f>
      </x:c>
      <x:c r="M239" s="16" t="str">
        <x:f>IF(OR(K239="",L239=""),"",L239-K239)</x:f>
      </x:c>
      <x:c r="N239" s="16" t="str">
        <x:f>IF(AND(A239=A238,ISNUMBER(K239),ISNUMBER(K238)),K239-K238,"")</x:f>
      </x:c>
      <x:c r="O239" s="13" t="str">
        <x:v>Sem informação</x:v>
      </x:c>
      <x:c r="P239" s="26"/>
      <x:c r="Q239" s="13"/>
      <x:c r="R239" s="13"/>
      <x:c r="S239" s="13"/>
      <x:c r="T239" s="13"/>
    </x:row>
    <x:row r="240">
      <x:c r="A240" s="13" t="str">
        <x:v>Diego Callai</x:v>
      </x:c>
      <x:c r="B240" s="13" t="n">
        <x:v>2030</x:v>
      </x:c>
      <x:c r="C240" s="13" t="str">
        <x:v>T3</x:v>
      </x:c>
      <x:c r="D240" s="24" t="n">
        <x:v>47756</x:v>
      </x:c>
      <x:c r="E240" s="13" t="str">
        <x:v>Goleiro</x:v>
      </x:c>
      <x:c r="F240" s="13" t="str">
        <x:v>Sporting CP B</x:v>
      </x:c>
      <x:c r="G240" s="16"/>
      <x:c r="H240" s="16"/>
      <x:c r="I240" s="16"/>
      <x:c r="J240" s="16"/>
      <x:c r="K240" s="16" t="str">
        <x:f>IF(COUNT(G240,I240)=0,"",AVERAGE(G240,I240))</x:f>
      </x:c>
      <x:c r="L240" s="16" t="str">
        <x:f>IF(COUNT(H240,J240)=0,"",AVERAGE(H240,J240))</x:f>
      </x:c>
      <x:c r="M240" s="16" t="str">
        <x:f>IF(OR(K240="",L240=""),"",L240-K240)</x:f>
      </x:c>
      <x:c r="N240" s="16" t="str">
        <x:f>IF(AND(A240=A239,ISNUMBER(K240),ISNUMBER(K239)),K240-K239,"")</x:f>
      </x:c>
      <x:c r="O240" s="13" t="str">
        <x:v>Sem informação</x:v>
      </x:c>
      <x:c r="P240" s="26"/>
      <x:c r="Q240" s="13"/>
      <x:c r="R240" s="13"/>
      <x:c r="S240" s="13"/>
      <x:c r="T240" s="13"/>
    </x:row>
    <x:row r="241">
      <x:c r="A241" s="13" t="str">
        <x:v>Diego Callai</x:v>
      </x:c>
      <x:c r="B241" s="13" t="n">
        <x:v>2030</x:v>
      </x:c>
      <x:c r="C241" s="13" t="str">
        <x:v>T4</x:v>
      </x:c>
      <x:c r="D241" s="24" t="n">
        <x:v>47848</x:v>
      </x:c>
      <x:c r="E241" s="13" t="str">
        <x:v>Goleiro</x:v>
      </x:c>
      <x:c r="F241" s="13" t="str">
        <x:v>Sporting CP B</x:v>
      </x:c>
      <x:c r="G241" s="16"/>
      <x:c r="H241" s="16"/>
      <x:c r="I241" s="16"/>
      <x:c r="J241" s="16"/>
      <x:c r="K241" s="16" t="str">
        <x:f>IF(COUNT(G241,I241)=0,"",AVERAGE(G241,I241))</x:f>
      </x:c>
      <x:c r="L241" s="16" t="str">
        <x:f>IF(COUNT(H241,J241)=0,"",AVERAGE(H241,J241))</x:f>
      </x:c>
      <x:c r="M241" s="16" t="str">
        <x:f>IF(OR(K241="",L241=""),"",L241-K241)</x:f>
      </x:c>
      <x:c r="N241" s="16" t="str">
        <x:f>IF(AND(A241=A240,ISNUMBER(K241),ISNUMBER(K240)),K241-K240,"")</x:f>
      </x:c>
      <x:c r="O241" s="13" t="str">
        <x:v>Sem informação</x:v>
      </x:c>
      <x:c r="P241" s="26"/>
      <x:c r="Q241" s="13"/>
      <x:c r="R241" s="13"/>
      <x:c r="S241" s="13"/>
      <x:c r="T241" s="13"/>
    </x:row>
    <x:row r="242">
      <x:c r="A242" s="13" t="str">
        <x:v>Endrick</x:v>
      </x:c>
      <x:c r="B242" s="13" t="n">
        <x:v>2026</x:v>
      </x:c>
      <x:c r="C242" s="13" t="str">
        <x:v>T1</x:v>
      </x:c>
      <x:c r="D242" s="24" t="n">
        <x:v>46112</x:v>
      </x:c>
      <x:c r="E242" s="13" t="str">
        <x:v>Centroavante</x:v>
      </x:c>
      <x:c r="F242" s="13" t="str">
        <x:v>Real Madrid CF</x:v>
      </x:c>
      <x:c r="G242" s="16"/>
      <x:c r="H242" s="16"/>
      <x:c r="I242" s="16"/>
      <x:c r="J242" s="16"/>
      <x:c r="K242" s="16" t="str">
        <x:f>IF(COUNT(G242,I242)=0,"",AVERAGE(G242,I242))</x:f>
      </x:c>
      <x:c r="L242" s="16" t="str">
        <x:f>IF(COUNT(H242,J242)=0,"",AVERAGE(H242,J242))</x:f>
      </x:c>
      <x:c r="M242" s="16" t="str">
        <x:f>IF(OR(K242="",L242=""),"",L242-K242)</x:f>
      </x:c>
      <x:c r="N242" s="16" t="str">
        <x:f>IF(AND(A242=A241,ISNUMBER(K242),ISNUMBER(K241)),K242-K241,"")</x:f>
      </x:c>
      <x:c r="O242" s="13" t="str">
        <x:v>Sem informação</x:v>
      </x:c>
      <x:c r="P242" s="26"/>
      <x:c r="Q242" s="13"/>
      <x:c r="R242" s="13"/>
      <x:c r="S242" s="13"/>
      <x:c r="T242" s="13"/>
    </x:row>
    <x:row r="243">
      <x:c r="A243" s="13" t="str">
        <x:v>Endrick</x:v>
      </x:c>
      <x:c r="B243" s="13" t="n">
        <x:v>2026</x:v>
      </x:c>
      <x:c r="C243" s="13" t="str">
        <x:v>T2</x:v>
      </x:c>
      <x:c r="D243" s="24" t="n">
        <x:v>46203</x:v>
      </x:c>
      <x:c r="E243" s="13" t="str">
        <x:v>Centroavante</x:v>
      </x:c>
      <x:c r="F243" s="13" t="str">
        <x:v>Real Madrid CF</x:v>
      </x:c>
      <x:c r="G243" s="16"/>
      <x:c r="H243" s="16"/>
      <x:c r="I243" s="16"/>
      <x:c r="J243" s="16"/>
      <x:c r="K243" s="16" t="str">
        <x:f>IF(COUNT(G243,I243)=0,"",AVERAGE(G243,I243))</x:f>
      </x:c>
      <x:c r="L243" s="16" t="str">
        <x:f>IF(COUNT(H243,J243)=0,"",AVERAGE(H243,J243))</x:f>
      </x:c>
      <x:c r="M243" s="16" t="str">
        <x:f>IF(OR(K243="",L243=""),"",L243-K243)</x:f>
      </x:c>
      <x:c r="N243" s="16" t="str">
        <x:f>IF(AND(A243=A242,ISNUMBER(K243),ISNUMBER(K242)),K243-K242,"")</x:f>
      </x:c>
      <x:c r="O243" s="13" t="str">
        <x:v>Sem informação</x:v>
      </x:c>
      <x:c r="P243" s="26"/>
      <x:c r="Q243" s="13"/>
      <x:c r="R243" s="13"/>
      <x:c r="S243" s="13"/>
      <x:c r="T243" s="13"/>
    </x:row>
    <x:row r="244">
      <x:c r="A244" s="13" t="str">
        <x:v>Endrick</x:v>
      </x:c>
      <x:c r="B244" s="13" t="n">
        <x:v>2026</x:v>
      </x:c>
      <x:c r="C244" s="13" t="str">
        <x:v>T3</x:v>
      </x:c>
      <x:c r="D244" s="24" t="n">
        <x:v>46295</x:v>
      </x:c>
      <x:c r="E244" s="13" t="str">
        <x:v>Centroavante</x:v>
      </x:c>
      <x:c r="F244" s="13" t="str">
        <x:v>Real Madrid CF</x:v>
      </x:c>
      <x:c r="G244" s="16"/>
      <x:c r="H244" s="16"/>
      <x:c r="I244" s="16"/>
      <x:c r="J244" s="16"/>
      <x:c r="K244" s="16" t="str">
        <x:f>IF(COUNT(G244,I244)=0,"",AVERAGE(G244,I244))</x:f>
      </x:c>
      <x:c r="L244" s="16" t="str">
        <x:f>IF(COUNT(H244,J244)=0,"",AVERAGE(H244,J244))</x:f>
      </x:c>
      <x:c r="M244" s="16" t="str">
        <x:f>IF(OR(K244="",L244=""),"",L244-K244)</x:f>
      </x:c>
      <x:c r="N244" s="16" t="str">
        <x:f>IF(AND(A244=A243,ISNUMBER(K244),ISNUMBER(K243)),K244-K243,"")</x:f>
      </x:c>
      <x:c r="O244" s="13" t="str">
        <x:v>Sem informação</x:v>
      </x:c>
      <x:c r="P244" s="26"/>
      <x:c r="Q244" s="13"/>
      <x:c r="R244" s="13"/>
      <x:c r="S244" s="13"/>
      <x:c r="T244" s="13"/>
    </x:row>
    <x:row r="245">
      <x:c r="A245" s="13" t="str">
        <x:v>Endrick</x:v>
      </x:c>
      <x:c r="B245" s="13" t="n">
        <x:v>2026</x:v>
      </x:c>
      <x:c r="C245" s="13" t="str">
        <x:v>T4</x:v>
      </x:c>
      <x:c r="D245" s="24" t="n">
        <x:v>46387</x:v>
      </x:c>
      <x:c r="E245" s="13" t="str">
        <x:v>Centroavante</x:v>
      </x:c>
      <x:c r="F245" s="13" t="str">
        <x:v>Real Madrid CF</x:v>
      </x:c>
      <x:c r="G245" s="16"/>
      <x:c r="H245" s="16"/>
      <x:c r="I245" s="16"/>
      <x:c r="J245" s="16"/>
      <x:c r="K245" s="16" t="str">
        <x:f>IF(COUNT(G245,I245)=0,"",AVERAGE(G245,I245))</x:f>
      </x:c>
      <x:c r="L245" s="16" t="str">
        <x:f>IF(COUNT(H245,J245)=0,"",AVERAGE(H245,J245))</x:f>
      </x:c>
      <x:c r="M245" s="16" t="str">
        <x:f>IF(OR(K245="",L245=""),"",L245-K245)</x:f>
      </x:c>
      <x:c r="N245" s="16" t="str">
        <x:f>IF(AND(A245=A244,ISNUMBER(K245),ISNUMBER(K244)),K245-K244,"")</x:f>
      </x:c>
      <x:c r="O245" s="13" t="str">
        <x:v>Sem informação</x:v>
      </x:c>
      <x:c r="P245" s="26"/>
      <x:c r="Q245" s="13"/>
      <x:c r="R245" s="13"/>
      <x:c r="S245" s="13"/>
      <x:c r="T245" s="13"/>
    </x:row>
    <x:row r="246">
      <x:c r="A246" s="13" t="str">
        <x:v>Endrick</x:v>
      </x:c>
      <x:c r="B246" s="13" t="n">
        <x:v>2027</x:v>
      </x:c>
      <x:c r="C246" s="13" t="str">
        <x:v>T1</x:v>
      </x:c>
      <x:c r="D246" s="24" t="n">
        <x:v>46477</x:v>
      </x:c>
      <x:c r="E246" s="13" t="str">
        <x:v>Centroavante</x:v>
      </x:c>
      <x:c r="F246" s="13" t="str">
        <x:v>Real Madrid CF</x:v>
      </x:c>
      <x:c r="G246" s="16"/>
      <x:c r="H246" s="16"/>
      <x:c r="I246" s="16"/>
      <x:c r="J246" s="16"/>
      <x:c r="K246" s="16" t="str">
        <x:f>IF(COUNT(G246,I246)=0,"",AVERAGE(G246,I246))</x:f>
      </x:c>
      <x:c r="L246" s="16" t="str">
        <x:f>IF(COUNT(H246,J246)=0,"",AVERAGE(H246,J246))</x:f>
      </x:c>
      <x:c r="M246" s="16" t="str">
        <x:f>IF(OR(K246="",L246=""),"",L246-K246)</x:f>
      </x:c>
      <x:c r="N246" s="16" t="str">
        <x:f>IF(AND(A246=A245,ISNUMBER(K246),ISNUMBER(K245)),K246-K245,"")</x:f>
      </x:c>
      <x:c r="O246" s="13" t="str">
        <x:v>Sem informação</x:v>
      </x:c>
      <x:c r="P246" s="26"/>
      <x:c r="Q246" s="13"/>
      <x:c r="R246" s="13"/>
      <x:c r="S246" s="13"/>
      <x:c r="T246" s="13"/>
    </x:row>
    <x:row r="247">
      <x:c r="A247" s="13" t="str">
        <x:v>Endrick</x:v>
      </x:c>
      <x:c r="B247" s="13" t="n">
        <x:v>2027</x:v>
      </x:c>
      <x:c r="C247" s="13" t="str">
        <x:v>T2</x:v>
      </x:c>
      <x:c r="D247" s="24" t="n">
        <x:v>46568</x:v>
      </x:c>
      <x:c r="E247" s="13" t="str">
        <x:v>Centroavante</x:v>
      </x:c>
      <x:c r="F247" s="13" t="str">
        <x:v>Real Madrid CF</x:v>
      </x:c>
      <x:c r="G247" s="16"/>
      <x:c r="H247" s="16"/>
      <x:c r="I247" s="16"/>
      <x:c r="J247" s="16"/>
      <x:c r="K247" s="16" t="str">
        <x:f>IF(COUNT(G247,I247)=0,"",AVERAGE(G247,I247))</x:f>
      </x:c>
      <x:c r="L247" s="16" t="str">
        <x:f>IF(COUNT(H247,J247)=0,"",AVERAGE(H247,J247))</x:f>
      </x:c>
      <x:c r="M247" s="16" t="str">
        <x:f>IF(OR(K247="",L247=""),"",L247-K247)</x:f>
      </x:c>
      <x:c r="N247" s="16" t="str">
        <x:f>IF(AND(A247=A246,ISNUMBER(K247),ISNUMBER(K246)),K247-K246,"")</x:f>
      </x:c>
      <x:c r="O247" s="13" t="str">
        <x:v>Sem informação</x:v>
      </x:c>
      <x:c r="P247" s="26"/>
      <x:c r="Q247" s="13"/>
      <x:c r="R247" s="13"/>
      <x:c r="S247" s="13"/>
      <x:c r="T247" s="13"/>
    </x:row>
    <x:row r="248">
      <x:c r="A248" s="13" t="str">
        <x:v>Endrick</x:v>
      </x:c>
      <x:c r="B248" s="13" t="n">
        <x:v>2027</x:v>
      </x:c>
      <x:c r="C248" s="13" t="str">
        <x:v>T3</x:v>
      </x:c>
      <x:c r="D248" s="24" t="n">
        <x:v>46660</x:v>
      </x:c>
      <x:c r="E248" s="13" t="str">
        <x:v>Centroavante</x:v>
      </x:c>
      <x:c r="F248" s="13" t="str">
        <x:v>Real Madrid CF</x:v>
      </x:c>
      <x:c r="G248" s="16"/>
      <x:c r="H248" s="16"/>
      <x:c r="I248" s="16"/>
      <x:c r="J248" s="16"/>
      <x:c r="K248" s="16" t="str">
        <x:f>IF(COUNT(G248,I248)=0,"",AVERAGE(G248,I248))</x:f>
      </x:c>
      <x:c r="L248" s="16" t="str">
        <x:f>IF(COUNT(H248,J248)=0,"",AVERAGE(H248,J248))</x:f>
      </x:c>
      <x:c r="M248" s="16" t="str">
        <x:f>IF(OR(K248="",L248=""),"",L248-K248)</x:f>
      </x:c>
      <x:c r="N248" s="16" t="str">
        <x:f>IF(AND(A248=A247,ISNUMBER(K248),ISNUMBER(K247)),K248-K247,"")</x:f>
      </x:c>
      <x:c r="O248" s="13" t="str">
        <x:v>Sem informação</x:v>
      </x:c>
      <x:c r="P248" s="26"/>
      <x:c r="Q248" s="13"/>
      <x:c r="R248" s="13"/>
      <x:c r="S248" s="13"/>
      <x:c r="T248" s="13"/>
    </x:row>
    <x:row r="249">
      <x:c r="A249" s="13" t="str">
        <x:v>Endrick</x:v>
      </x:c>
      <x:c r="B249" s="13" t="n">
        <x:v>2027</x:v>
      </x:c>
      <x:c r="C249" s="13" t="str">
        <x:v>T4</x:v>
      </x:c>
      <x:c r="D249" s="24" t="n">
        <x:v>46752</x:v>
      </x:c>
      <x:c r="E249" s="13" t="str">
        <x:v>Centroavante</x:v>
      </x:c>
      <x:c r="F249" s="13" t="str">
        <x:v>Real Madrid CF</x:v>
      </x:c>
      <x:c r="G249" s="16"/>
      <x:c r="H249" s="16"/>
      <x:c r="I249" s="16"/>
      <x:c r="J249" s="16"/>
      <x:c r="K249" s="16" t="str">
        <x:f>IF(COUNT(G249,I249)=0,"",AVERAGE(G249,I249))</x:f>
      </x:c>
      <x:c r="L249" s="16" t="str">
        <x:f>IF(COUNT(H249,J249)=0,"",AVERAGE(H249,J249))</x:f>
      </x:c>
      <x:c r="M249" s="16" t="str">
        <x:f>IF(OR(K249="",L249=""),"",L249-K249)</x:f>
      </x:c>
      <x:c r="N249" s="16" t="str">
        <x:f>IF(AND(A249=A248,ISNUMBER(K249),ISNUMBER(K248)),K249-K248,"")</x:f>
      </x:c>
      <x:c r="O249" s="13" t="str">
        <x:v>Sem informação</x:v>
      </x:c>
      <x:c r="P249" s="26"/>
      <x:c r="Q249" s="13"/>
      <x:c r="R249" s="13"/>
      <x:c r="S249" s="13"/>
      <x:c r="T249" s="13"/>
    </x:row>
    <x:row r="250">
      <x:c r="A250" s="13" t="str">
        <x:v>Endrick</x:v>
      </x:c>
      <x:c r="B250" s="13" t="n">
        <x:v>2028</x:v>
      </x:c>
      <x:c r="C250" s="13" t="str">
        <x:v>T1</x:v>
      </x:c>
      <x:c r="D250" s="24" t="n">
        <x:v>46843</x:v>
      </x:c>
      <x:c r="E250" s="13" t="str">
        <x:v>Centroavante</x:v>
      </x:c>
      <x:c r="F250" s="13" t="str">
        <x:v>Real Madrid CF</x:v>
      </x:c>
      <x:c r="G250" s="16"/>
      <x:c r="H250" s="16"/>
      <x:c r="I250" s="16"/>
      <x:c r="J250" s="16"/>
      <x:c r="K250" s="16" t="str">
        <x:f>IF(COUNT(G250,I250)=0,"",AVERAGE(G250,I250))</x:f>
      </x:c>
      <x:c r="L250" s="16" t="str">
        <x:f>IF(COUNT(H250,J250)=0,"",AVERAGE(H250,J250))</x:f>
      </x:c>
      <x:c r="M250" s="16" t="str">
        <x:f>IF(OR(K250="",L250=""),"",L250-K250)</x:f>
      </x:c>
      <x:c r="N250" s="16" t="str">
        <x:f>IF(AND(A250=A249,ISNUMBER(K250),ISNUMBER(K249)),K250-K249,"")</x:f>
      </x:c>
      <x:c r="O250" s="13" t="str">
        <x:v>Sem informação</x:v>
      </x:c>
      <x:c r="P250" s="26"/>
      <x:c r="Q250" s="13"/>
      <x:c r="R250" s="13"/>
      <x:c r="S250" s="13"/>
      <x:c r="T250" s="13"/>
    </x:row>
    <x:row r="251">
      <x:c r="A251" s="13" t="str">
        <x:v>Endrick</x:v>
      </x:c>
      <x:c r="B251" s="13" t="n">
        <x:v>2028</x:v>
      </x:c>
      <x:c r="C251" s="13" t="str">
        <x:v>T2</x:v>
      </x:c>
      <x:c r="D251" s="24" t="n">
        <x:v>46934</x:v>
      </x:c>
      <x:c r="E251" s="13" t="str">
        <x:v>Centroavante</x:v>
      </x:c>
      <x:c r="F251" s="13" t="str">
        <x:v>Real Madrid CF</x:v>
      </x:c>
      <x:c r="G251" s="16"/>
      <x:c r="H251" s="16"/>
      <x:c r="I251" s="16"/>
      <x:c r="J251" s="16"/>
      <x:c r="K251" s="16" t="str">
        <x:f>IF(COUNT(G251,I251)=0,"",AVERAGE(G251,I251))</x:f>
      </x:c>
      <x:c r="L251" s="16" t="str">
        <x:f>IF(COUNT(H251,J251)=0,"",AVERAGE(H251,J251))</x:f>
      </x:c>
      <x:c r="M251" s="16" t="str">
        <x:f>IF(OR(K251="",L251=""),"",L251-K251)</x:f>
      </x:c>
      <x:c r="N251" s="16" t="str">
        <x:f>IF(AND(A251=A250,ISNUMBER(K251),ISNUMBER(K250)),K251-K250,"")</x:f>
      </x:c>
      <x:c r="O251" s="13" t="str">
        <x:v>Sem informação</x:v>
      </x:c>
      <x:c r="P251" s="26"/>
      <x:c r="Q251" s="13"/>
      <x:c r="R251" s="13"/>
      <x:c r="S251" s="13"/>
      <x:c r="T251" s="13"/>
    </x:row>
    <x:row r="252">
      <x:c r="A252" s="13" t="str">
        <x:v>Endrick</x:v>
      </x:c>
      <x:c r="B252" s="13" t="n">
        <x:v>2028</x:v>
      </x:c>
      <x:c r="C252" s="13" t="str">
        <x:v>T3</x:v>
      </x:c>
      <x:c r="D252" s="24" t="n">
        <x:v>47026</x:v>
      </x:c>
      <x:c r="E252" s="13" t="str">
        <x:v>Centroavante</x:v>
      </x:c>
      <x:c r="F252" s="13" t="str">
        <x:v>Real Madrid CF</x:v>
      </x:c>
      <x:c r="G252" s="16"/>
      <x:c r="H252" s="16"/>
      <x:c r="I252" s="16"/>
      <x:c r="J252" s="16"/>
      <x:c r="K252" s="16" t="str">
        <x:f>IF(COUNT(G252,I252)=0,"",AVERAGE(G252,I252))</x:f>
      </x:c>
      <x:c r="L252" s="16" t="str">
        <x:f>IF(COUNT(H252,J252)=0,"",AVERAGE(H252,J252))</x:f>
      </x:c>
      <x:c r="M252" s="16" t="str">
        <x:f>IF(OR(K252="",L252=""),"",L252-K252)</x:f>
      </x:c>
      <x:c r="N252" s="16" t="str">
        <x:f>IF(AND(A252=A251,ISNUMBER(K252),ISNUMBER(K251)),K252-K251,"")</x:f>
      </x:c>
      <x:c r="O252" s="13" t="str">
        <x:v>Sem informação</x:v>
      </x:c>
      <x:c r="P252" s="26"/>
      <x:c r="Q252" s="13"/>
      <x:c r="R252" s="13"/>
      <x:c r="S252" s="13"/>
      <x:c r="T252" s="13"/>
    </x:row>
    <x:row r="253">
      <x:c r="A253" s="13" t="str">
        <x:v>Endrick</x:v>
      </x:c>
      <x:c r="B253" s="13" t="n">
        <x:v>2028</x:v>
      </x:c>
      <x:c r="C253" s="13" t="str">
        <x:v>T4</x:v>
      </x:c>
      <x:c r="D253" s="24" t="n">
        <x:v>47118</x:v>
      </x:c>
      <x:c r="E253" s="13" t="str">
        <x:v>Centroavante</x:v>
      </x:c>
      <x:c r="F253" s="13" t="str">
        <x:v>Real Madrid CF</x:v>
      </x:c>
      <x:c r="G253" s="16"/>
      <x:c r="H253" s="16"/>
      <x:c r="I253" s="16"/>
      <x:c r="J253" s="16"/>
      <x:c r="K253" s="16" t="str">
        <x:f>IF(COUNT(G253,I253)=0,"",AVERAGE(G253,I253))</x:f>
      </x:c>
      <x:c r="L253" s="16" t="str">
        <x:f>IF(COUNT(H253,J253)=0,"",AVERAGE(H253,J253))</x:f>
      </x:c>
      <x:c r="M253" s="16" t="str">
        <x:f>IF(OR(K253="",L253=""),"",L253-K253)</x:f>
      </x:c>
      <x:c r="N253" s="16" t="str">
        <x:f>IF(AND(A253=A252,ISNUMBER(K253),ISNUMBER(K252)),K253-K252,"")</x:f>
      </x:c>
      <x:c r="O253" s="13" t="str">
        <x:v>Sem informação</x:v>
      </x:c>
      <x:c r="P253" s="26"/>
      <x:c r="Q253" s="13"/>
      <x:c r="R253" s="13"/>
      <x:c r="S253" s="13"/>
      <x:c r="T253" s="13"/>
    </x:row>
    <x:row r="254">
      <x:c r="A254" s="13" t="str">
        <x:v>Endrick</x:v>
      </x:c>
      <x:c r="B254" s="13" t="n">
        <x:v>2029</x:v>
      </x:c>
      <x:c r="C254" s="13" t="str">
        <x:v>T1</x:v>
      </x:c>
      <x:c r="D254" s="24" t="n">
        <x:v>47208</x:v>
      </x:c>
      <x:c r="E254" s="13" t="str">
        <x:v>Centroavante</x:v>
      </x:c>
      <x:c r="F254" s="13" t="str">
        <x:v>Real Madrid CF</x:v>
      </x:c>
      <x:c r="G254" s="16"/>
      <x:c r="H254" s="16"/>
      <x:c r="I254" s="16"/>
      <x:c r="J254" s="16"/>
      <x:c r="K254" s="16" t="str">
        <x:f>IF(COUNT(G254,I254)=0,"",AVERAGE(G254,I254))</x:f>
      </x:c>
      <x:c r="L254" s="16" t="str">
        <x:f>IF(COUNT(H254,J254)=0,"",AVERAGE(H254,J254))</x:f>
      </x:c>
      <x:c r="M254" s="16" t="str">
        <x:f>IF(OR(K254="",L254=""),"",L254-K254)</x:f>
      </x:c>
      <x:c r="N254" s="16" t="str">
        <x:f>IF(AND(A254=A253,ISNUMBER(K254),ISNUMBER(K253)),K254-K253,"")</x:f>
      </x:c>
      <x:c r="O254" s="13" t="str">
        <x:v>Sem informação</x:v>
      </x:c>
      <x:c r="P254" s="26"/>
      <x:c r="Q254" s="13"/>
      <x:c r="R254" s="13"/>
      <x:c r="S254" s="13"/>
      <x:c r="T254" s="13"/>
    </x:row>
    <x:row r="255">
      <x:c r="A255" s="13" t="str">
        <x:v>Endrick</x:v>
      </x:c>
      <x:c r="B255" s="13" t="n">
        <x:v>2029</x:v>
      </x:c>
      <x:c r="C255" s="13" t="str">
        <x:v>T2</x:v>
      </x:c>
      <x:c r="D255" s="24" t="n">
        <x:v>47299</x:v>
      </x:c>
      <x:c r="E255" s="13" t="str">
        <x:v>Centroavante</x:v>
      </x:c>
      <x:c r="F255" s="13" t="str">
        <x:v>Real Madrid CF</x:v>
      </x:c>
      <x:c r="G255" s="16"/>
      <x:c r="H255" s="16"/>
      <x:c r="I255" s="16"/>
      <x:c r="J255" s="16"/>
      <x:c r="K255" s="16" t="str">
        <x:f>IF(COUNT(G255,I255)=0,"",AVERAGE(G255,I255))</x:f>
      </x:c>
      <x:c r="L255" s="16" t="str">
        <x:f>IF(COUNT(H255,J255)=0,"",AVERAGE(H255,J255))</x:f>
      </x:c>
      <x:c r="M255" s="16" t="str">
        <x:f>IF(OR(K255="",L255=""),"",L255-K255)</x:f>
      </x:c>
      <x:c r="N255" s="16" t="str">
        <x:f>IF(AND(A255=A254,ISNUMBER(K255),ISNUMBER(K254)),K255-K254,"")</x:f>
      </x:c>
      <x:c r="O255" s="13" t="str">
        <x:v>Sem informação</x:v>
      </x:c>
      <x:c r="P255" s="26"/>
      <x:c r="Q255" s="13"/>
      <x:c r="R255" s="13"/>
      <x:c r="S255" s="13"/>
      <x:c r="T255" s="13"/>
    </x:row>
    <x:row r="256">
      <x:c r="A256" s="13" t="str">
        <x:v>Endrick</x:v>
      </x:c>
      <x:c r="B256" s="13" t="n">
        <x:v>2029</x:v>
      </x:c>
      <x:c r="C256" s="13" t="str">
        <x:v>T3</x:v>
      </x:c>
      <x:c r="D256" s="24" t="n">
        <x:v>47391</x:v>
      </x:c>
      <x:c r="E256" s="13" t="str">
        <x:v>Centroavante</x:v>
      </x:c>
      <x:c r="F256" s="13" t="str">
        <x:v>Real Madrid CF</x:v>
      </x:c>
      <x:c r="G256" s="16"/>
      <x:c r="H256" s="16"/>
      <x:c r="I256" s="16"/>
      <x:c r="J256" s="16"/>
      <x:c r="K256" s="16" t="str">
        <x:f>IF(COUNT(G256,I256)=0,"",AVERAGE(G256,I256))</x:f>
      </x:c>
      <x:c r="L256" s="16" t="str">
        <x:f>IF(COUNT(H256,J256)=0,"",AVERAGE(H256,J256))</x:f>
      </x:c>
      <x:c r="M256" s="16" t="str">
        <x:f>IF(OR(K256="",L256=""),"",L256-K256)</x:f>
      </x:c>
      <x:c r="N256" s="16" t="str">
        <x:f>IF(AND(A256=A255,ISNUMBER(K256),ISNUMBER(K255)),K256-K255,"")</x:f>
      </x:c>
      <x:c r="O256" s="13" t="str">
        <x:v>Sem informação</x:v>
      </x:c>
      <x:c r="P256" s="26"/>
      <x:c r="Q256" s="13"/>
      <x:c r="R256" s="13"/>
      <x:c r="S256" s="13"/>
      <x:c r="T256" s="13"/>
    </x:row>
    <x:row r="257">
      <x:c r="A257" s="13" t="str">
        <x:v>Endrick</x:v>
      </x:c>
      <x:c r="B257" s="13" t="n">
        <x:v>2029</x:v>
      </x:c>
      <x:c r="C257" s="13" t="str">
        <x:v>T4</x:v>
      </x:c>
      <x:c r="D257" s="24" t="n">
        <x:v>47483</x:v>
      </x:c>
      <x:c r="E257" s="13" t="str">
        <x:v>Centroavante</x:v>
      </x:c>
      <x:c r="F257" s="13" t="str">
        <x:v>Real Madrid CF</x:v>
      </x:c>
      <x:c r="G257" s="16"/>
      <x:c r="H257" s="16"/>
      <x:c r="I257" s="16"/>
      <x:c r="J257" s="16"/>
      <x:c r="K257" s="16" t="str">
        <x:f>IF(COUNT(G257,I257)=0,"",AVERAGE(G257,I257))</x:f>
      </x:c>
      <x:c r="L257" s="16" t="str">
        <x:f>IF(COUNT(H257,J257)=0,"",AVERAGE(H257,J257))</x:f>
      </x:c>
      <x:c r="M257" s="16" t="str">
        <x:f>IF(OR(K257="",L257=""),"",L257-K257)</x:f>
      </x:c>
      <x:c r="N257" s="16" t="str">
        <x:f>IF(AND(A257=A256,ISNUMBER(K257),ISNUMBER(K256)),K257-K256,"")</x:f>
      </x:c>
      <x:c r="O257" s="13" t="str">
        <x:v>Sem informação</x:v>
      </x:c>
      <x:c r="P257" s="26"/>
      <x:c r="Q257" s="13"/>
      <x:c r="R257" s="13"/>
      <x:c r="S257" s="13"/>
      <x:c r="T257" s="13"/>
    </x:row>
    <x:row r="258">
      <x:c r="A258" s="13" t="str">
        <x:v>Endrick</x:v>
      </x:c>
      <x:c r="B258" s="13" t="n">
        <x:v>2030</x:v>
      </x:c>
      <x:c r="C258" s="13" t="str">
        <x:v>T1</x:v>
      </x:c>
      <x:c r="D258" s="24" t="n">
        <x:v>47573</x:v>
      </x:c>
      <x:c r="E258" s="13" t="str">
        <x:v>Centroavante</x:v>
      </x:c>
      <x:c r="F258" s="13" t="str">
        <x:v>Real Madrid CF</x:v>
      </x:c>
      <x:c r="G258" s="16"/>
      <x:c r="H258" s="16"/>
      <x:c r="I258" s="16"/>
      <x:c r="J258" s="16"/>
      <x:c r="K258" s="16" t="str">
        <x:f>IF(COUNT(G258,I258)=0,"",AVERAGE(G258,I258))</x:f>
      </x:c>
      <x:c r="L258" s="16" t="str">
        <x:f>IF(COUNT(H258,J258)=0,"",AVERAGE(H258,J258))</x:f>
      </x:c>
      <x:c r="M258" s="16" t="str">
        <x:f>IF(OR(K258="",L258=""),"",L258-K258)</x:f>
      </x:c>
      <x:c r="N258" s="16" t="str">
        <x:f>IF(AND(A258=A257,ISNUMBER(K258),ISNUMBER(K257)),K258-K257,"")</x:f>
      </x:c>
      <x:c r="O258" s="13" t="str">
        <x:v>Sem informação</x:v>
      </x:c>
      <x:c r="P258" s="26"/>
      <x:c r="Q258" s="13"/>
      <x:c r="R258" s="13"/>
      <x:c r="S258" s="13"/>
      <x:c r="T258" s="13"/>
    </x:row>
    <x:row r="259">
      <x:c r="A259" s="13" t="str">
        <x:v>Endrick</x:v>
      </x:c>
      <x:c r="B259" s="13" t="n">
        <x:v>2030</x:v>
      </x:c>
      <x:c r="C259" s="13" t="str">
        <x:v>T2</x:v>
      </x:c>
      <x:c r="D259" s="24" t="n">
        <x:v>47664</x:v>
      </x:c>
      <x:c r="E259" s="13" t="str">
        <x:v>Centroavante</x:v>
      </x:c>
      <x:c r="F259" s="13" t="str">
        <x:v>Real Madrid CF</x:v>
      </x:c>
      <x:c r="G259" s="16"/>
      <x:c r="H259" s="16"/>
      <x:c r="I259" s="16"/>
      <x:c r="J259" s="16"/>
      <x:c r="K259" s="16" t="str">
        <x:f>IF(COUNT(G259,I259)=0,"",AVERAGE(G259,I259))</x:f>
      </x:c>
      <x:c r="L259" s="16" t="str">
        <x:f>IF(COUNT(H259,J259)=0,"",AVERAGE(H259,J259))</x:f>
      </x:c>
      <x:c r="M259" s="16" t="str">
        <x:f>IF(OR(K259="",L259=""),"",L259-K259)</x:f>
      </x:c>
      <x:c r="N259" s="16" t="str">
        <x:f>IF(AND(A259=A258,ISNUMBER(K259),ISNUMBER(K258)),K259-K258,"")</x:f>
      </x:c>
      <x:c r="O259" s="13" t="str">
        <x:v>Sem informação</x:v>
      </x:c>
      <x:c r="P259" s="26"/>
      <x:c r="Q259" s="13"/>
      <x:c r="R259" s="13"/>
      <x:c r="S259" s="13"/>
      <x:c r="T259" s="13"/>
    </x:row>
    <x:row r="260">
      <x:c r="A260" s="13" t="str">
        <x:v>Endrick</x:v>
      </x:c>
      <x:c r="B260" s="13" t="n">
        <x:v>2030</x:v>
      </x:c>
      <x:c r="C260" s="13" t="str">
        <x:v>T3</x:v>
      </x:c>
      <x:c r="D260" s="24" t="n">
        <x:v>47756</x:v>
      </x:c>
      <x:c r="E260" s="13" t="str">
        <x:v>Centroavante</x:v>
      </x:c>
      <x:c r="F260" s="13" t="str">
        <x:v>Real Madrid CF</x:v>
      </x:c>
      <x:c r="G260" s="16"/>
      <x:c r="H260" s="16"/>
      <x:c r="I260" s="16"/>
      <x:c r="J260" s="16"/>
      <x:c r="K260" s="16" t="str">
        <x:f>IF(COUNT(G260,I260)=0,"",AVERAGE(G260,I260))</x:f>
      </x:c>
      <x:c r="L260" s="16" t="str">
        <x:f>IF(COUNT(H260,J260)=0,"",AVERAGE(H260,J260))</x:f>
      </x:c>
      <x:c r="M260" s="16" t="str">
        <x:f>IF(OR(K260="",L260=""),"",L260-K260)</x:f>
      </x:c>
      <x:c r="N260" s="16" t="str">
        <x:f>IF(AND(A260=A259,ISNUMBER(K260),ISNUMBER(K259)),K260-K259,"")</x:f>
      </x:c>
      <x:c r="O260" s="13" t="str">
        <x:v>Sem informação</x:v>
      </x:c>
      <x:c r="P260" s="26"/>
      <x:c r="Q260" s="13"/>
      <x:c r="R260" s="13"/>
      <x:c r="S260" s="13"/>
      <x:c r="T260" s="13"/>
    </x:row>
    <x:row r="261">
      <x:c r="A261" s="13" t="str">
        <x:v>Endrick</x:v>
      </x:c>
      <x:c r="B261" s="13" t="n">
        <x:v>2030</x:v>
      </x:c>
      <x:c r="C261" s="13" t="str">
        <x:v>T4</x:v>
      </x:c>
      <x:c r="D261" s="24" t="n">
        <x:v>47848</x:v>
      </x:c>
      <x:c r="E261" s="13" t="str">
        <x:v>Centroavante</x:v>
      </x:c>
      <x:c r="F261" s="13" t="str">
        <x:v>Real Madrid CF</x:v>
      </x:c>
      <x:c r="G261" s="16"/>
      <x:c r="H261" s="16"/>
      <x:c r="I261" s="16"/>
      <x:c r="J261" s="16"/>
      <x:c r="K261" s="16" t="str">
        <x:f>IF(COUNT(G261,I261)=0,"",AVERAGE(G261,I261))</x:f>
      </x:c>
      <x:c r="L261" s="16" t="str">
        <x:f>IF(COUNT(H261,J261)=0,"",AVERAGE(H261,J261))</x:f>
      </x:c>
      <x:c r="M261" s="16" t="str">
        <x:f>IF(OR(K261="",L261=""),"",L261-K261)</x:f>
      </x:c>
      <x:c r="N261" s="16" t="str">
        <x:f>IF(AND(A261=A260,ISNUMBER(K261),ISNUMBER(K260)),K261-K260,"")</x:f>
      </x:c>
      <x:c r="O261" s="13" t="str">
        <x:v>Sem informação</x:v>
      </x:c>
      <x:c r="P261" s="26"/>
      <x:c r="Q261" s="13"/>
      <x:c r="R261" s="13"/>
      <x:c r="S261" s="13"/>
      <x:c r="T261" s="13"/>
    </x:row>
    <x:row r="262">
      <x:c r="A262" s="13" t="str">
        <x:v>Estevão</x:v>
      </x:c>
      <x:c r="B262" s="13" t="n">
        <x:v>2026</x:v>
      </x:c>
      <x:c r="C262" s="13" t="str">
        <x:v>T1</x:v>
      </x:c>
      <x:c r="D262" s="24" t="n">
        <x:v>46112</x:v>
      </x:c>
      <x:c r="E262" s="13" t="str">
        <x:v>Ponta-direita</x:v>
      </x:c>
      <x:c r="F262" s="13" t="str">
        <x:v>Chelsea FC</x:v>
      </x:c>
      <x:c r="G262" s="16"/>
      <x:c r="H262" s="16"/>
      <x:c r="I262" s="16"/>
      <x:c r="J262" s="16"/>
      <x:c r="K262" s="16" t="str">
        <x:f>IF(COUNT(G262,I262)=0,"",AVERAGE(G262,I262))</x:f>
      </x:c>
      <x:c r="L262" s="16" t="str">
        <x:f>IF(COUNT(H262,J262)=0,"",AVERAGE(H262,J262))</x:f>
      </x:c>
      <x:c r="M262" s="16" t="str">
        <x:f>IF(OR(K262="",L262=""),"",L262-K262)</x:f>
      </x:c>
      <x:c r="N262" s="16" t="str">
        <x:f>IF(AND(A262=A261,ISNUMBER(K262),ISNUMBER(K261)),K262-K261,"")</x:f>
      </x:c>
      <x:c r="O262" s="13" t="str">
        <x:v>Sem informação</x:v>
      </x:c>
      <x:c r="P262" s="26"/>
      <x:c r="Q262" s="13"/>
      <x:c r="R262" s="13"/>
      <x:c r="S262" s="13"/>
      <x:c r="T262" s="13"/>
    </x:row>
    <x:row r="263">
      <x:c r="A263" s="13" t="str">
        <x:v>Estevão</x:v>
      </x:c>
      <x:c r="B263" s="13" t="n">
        <x:v>2026</x:v>
      </x:c>
      <x:c r="C263" s="13" t="str">
        <x:v>T2</x:v>
      </x:c>
      <x:c r="D263" s="24" t="n">
        <x:v>46203</x:v>
      </x:c>
      <x:c r="E263" s="13" t="str">
        <x:v>Ponta-direita</x:v>
      </x:c>
      <x:c r="F263" s="13" t="str">
        <x:v>Chelsea FC</x:v>
      </x:c>
      <x:c r="G263" s="16"/>
      <x:c r="H263" s="16"/>
      <x:c r="I263" s="16"/>
      <x:c r="J263" s="16"/>
      <x:c r="K263" s="16" t="str">
        <x:f>IF(COUNT(G263,I263)=0,"",AVERAGE(G263,I263))</x:f>
      </x:c>
      <x:c r="L263" s="16" t="str">
        <x:f>IF(COUNT(H263,J263)=0,"",AVERAGE(H263,J263))</x:f>
      </x:c>
      <x:c r="M263" s="16" t="str">
        <x:f>IF(OR(K263="",L263=""),"",L263-K263)</x:f>
      </x:c>
      <x:c r="N263" s="16" t="str">
        <x:f>IF(AND(A263=A262,ISNUMBER(K263),ISNUMBER(K262)),K263-K262,"")</x:f>
      </x:c>
      <x:c r="O263" s="13" t="str">
        <x:v>Sem informação</x:v>
      </x:c>
      <x:c r="P263" s="26"/>
      <x:c r="Q263" s="13"/>
      <x:c r="R263" s="13"/>
      <x:c r="S263" s="13"/>
      <x:c r="T263" s="13"/>
    </x:row>
    <x:row r="264">
      <x:c r="A264" s="13" t="str">
        <x:v>Estevão</x:v>
      </x:c>
      <x:c r="B264" s="13" t="n">
        <x:v>2026</x:v>
      </x:c>
      <x:c r="C264" s="13" t="str">
        <x:v>T3</x:v>
      </x:c>
      <x:c r="D264" s="24" t="n">
        <x:v>46295</x:v>
      </x:c>
      <x:c r="E264" s="13" t="str">
        <x:v>Ponta-direita</x:v>
      </x:c>
      <x:c r="F264" s="13" t="str">
        <x:v>Chelsea FC</x:v>
      </x:c>
      <x:c r="G264" s="16"/>
      <x:c r="H264" s="16"/>
      <x:c r="I264" s="16"/>
      <x:c r="J264" s="16"/>
      <x:c r="K264" s="16" t="str">
        <x:f>IF(COUNT(G264,I264)=0,"",AVERAGE(G264,I264))</x:f>
      </x:c>
      <x:c r="L264" s="16" t="str">
        <x:f>IF(COUNT(H264,J264)=0,"",AVERAGE(H264,J264))</x:f>
      </x:c>
      <x:c r="M264" s="16" t="str">
        <x:f>IF(OR(K264="",L264=""),"",L264-K264)</x:f>
      </x:c>
      <x:c r="N264" s="16" t="str">
        <x:f>IF(AND(A264=A263,ISNUMBER(K264),ISNUMBER(K263)),K264-K263,"")</x:f>
      </x:c>
      <x:c r="O264" s="13" t="str">
        <x:v>Sem informação</x:v>
      </x:c>
      <x:c r="P264" s="26"/>
      <x:c r="Q264" s="13"/>
      <x:c r="R264" s="13"/>
      <x:c r="S264" s="13"/>
      <x:c r="T264" s="13"/>
    </x:row>
    <x:row r="265">
      <x:c r="A265" s="13" t="str">
        <x:v>Estevão</x:v>
      </x:c>
      <x:c r="B265" s="13" t="n">
        <x:v>2026</x:v>
      </x:c>
      <x:c r="C265" s="13" t="str">
        <x:v>T4</x:v>
      </x:c>
      <x:c r="D265" s="24" t="n">
        <x:v>46387</x:v>
      </x:c>
      <x:c r="E265" s="13" t="str">
        <x:v>Ponta-direita</x:v>
      </x:c>
      <x:c r="F265" s="13" t="str">
        <x:v>Chelsea FC</x:v>
      </x:c>
      <x:c r="G265" s="16"/>
      <x:c r="H265" s="16"/>
      <x:c r="I265" s="16"/>
      <x:c r="J265" s="16"/>
      <x:c r="K265" s="16" t="str">
        <x:f>IF(COUNT(G265,I265)=0,"",AVERAGE(G265,I265))</x:f>
      </x:c>
      <x:c r="L265" s="16" t="str">
        <x:f>IF(COUNT(H265,J265)=0,"",AVERAGE(H265,J265))</x:f>
      </x:c>
      <x:c r="M265" s="16" t="str">
        <x:f>IF(OR(K265="",L265=""),"",L265-K265)</x:f>
      </x:c>
      <x:c r="N265" s="16" t="str">
        <x:f>IF(AND(A265=A264,ISNUMBER(K265),ISNUMBER(K264)),K265-K264,"")</x:f>
      </x:c>
      <x:c r="O265" s="13" t="str">
        <x:v>Sem informação</x:v>
      </x:c>
      <x:c r="P265" s="26"/>
      <x:c r="Q265" s="13"/>
      <x:c r="R265" s="13"/>
      <x:c r="S265" s="13"/>
      <x:c r="T265" s="13"/>
    </x:row>
    <x:row r="266">
      <x:c r="A266" s="13" t="str">
        <x:v>Estevão</x:v>
      </x:c>
      <x:c r="B266" s="13" t="n">
        <x:v>2027</x:v>
      </x:c>
      <x:c r="C266" s="13" t="str">
        <x:v>T1</x:v>
      </x:c>
      <x:c r="D266" s="24" t="n">
        <x:v>46477</x:v>
      </x:c>
      <x:c r="E266" s="13" t="str">
        <x:v>Ponta-direita</x:v>
      </x:c>
      <x:c r="F266" s="13" t="str">
        <x:v>Chelsea FC</x:v>
      </x:c>
      <x:c r="G266" s="16"/>
      <x:c r="H266" s="16"/>
      <x:c r="I266" s="16"/>
      <x:c r="J266" s="16"/>
      <x:c r="K266" s="16" t="str">
        <x:f>IF(COUNT(G266,I266)=0,"",AVERAGE(G266,I266))</x:f>
      </x:c>
      <x:c r="L266" s="16" t="str">
        <x:f>IF(COUNT(H266,J266)=0,"",AVERAGE(H266,J266))</x:f>
      </x:c>
      <x:c r="M266" s="16" t="str">
        <x:f>IF(OR(K266="",L266=""),"",L266-K266)</x:f>
      </x:c>
      <x:c r="N266" s="16" t="str">
        <x:f>IF(AND(A266=A265,ISNUMBER(K266),ISNUMBER(K265)),K266-K265,"")</x:f>
      </x:c>
      <x:c r="O266" s="13" t="str">
        <x:v>Sem informação</x:v>
      </x:c>
      <x:c r="P266" s="26"/>
      <x:c r="Q266" s="13"/>
      <x:c r="R266" s="13"/>
      <x:c r="S266" s="13"/>
      <x:c r="T266" s="13"/>
    </x:row>
    <x:row r="267">
      <x:c r="A267" s="13" t="str">
        <x:v>Estevão</x:v>
      </x:c>
      <x:c r="B267" s="13" t="n">
        <x:v>2027</x:v>
      </x:c>
      <x:c r="C267" s="13" t="str">
        <x:v>T2</x:v>
      </x:c>
      <x:c r="D267" s="24" t="n">
        <x:v>46568</x:v>
      </x:c>
      <x:c r="E267" s="13" t="str">
        <x:v>Ponta-direita</x:v>
      </x:c>
      <x:c r="F267" s="13" t="str">
        <x:v>Chelsea FC</x:v>
      </x:c>
      <x:c r="G267" s="16"/>
      <x:c r="H267" s="16"/>
      <x:c r="I267" s="16"/>
      <x:c r="J267" s="16"/>
      <x:c r="K267" s="16" t="str">
        <x:f>IF(COUNT(G267,I267)=0,"",AVERAGE(G267,I267))</x:f>
      </x:c>
      <x:c r="L267" s="16" t="str">
        <x:f>IF(COUNT(H267,J267)=0,"",AVERAGE(H267,J267))</x:f>
      </x:c>
      <x:c r="M267" s="16" t="str">
        <x:f>IF(OR(K267="",L267=""),"",L267-K267)</x:f>
      </x:c>
      <x:c r="N267" s="16" t="str">
        <x:f>IF(AND(A267=A266,ISNUMBER(K267),ISNUMBER(K266)),K267-K266,"")</x:f>
      </x:c>
      <x:c r="O267" s="13" t="str">
        <x:v>Sem informação</x:v>
      </x:c>
      <x:c r="P267" s="26"/>
      <x:c r="Q267" s="13"/>
      <x:c r="R267" s="13"/>
      <x:c r="S267" s="13"/>
      <x:c r="T267" s="13"/>
    </x:row>
    <x:row r="268">
      <x:c r="A268" s="13" t="str">
        <x:v>Estevão</x:v>
      </x:c>
      <x:c r="B268" s="13" t="n">
        <x:v>2027</x:v>
      </x:c>
      <x:c r="C268" s="13" t="str">
        <x:v>T3</x:v>
      </x:c>
      <x:c r="D268" s="24" t="n">
        <x:v>46660</x:v>
      </x:c>
      <x:c r="E268" s="13" t="str">
        <x:v>Ponta-direita</x:v>
      </x:c>
      <x:c r="F268" s="13" t="str">
        <x:v>Chelsea FC</x:v>
      </x:c>
      <x:c r="G268" s="16"/>
      <x:c r="H268" s="16"/>
      <x:c r="I268" s="16"/>
      <x:c r="J268" s="16"/>
      <x:c r="K268" s="16" t="str">
        <x:f>IF(COUNT(G268,I268)=0,"",AVERAGE(G268,I268))</x:f>
      </x:c>
      <x:c r="L268" s="16" t="str">
        <x:f>IF(COUNT(H268,J268)=0,"",AVERAGE(H268,J268))</x:f>
      </x:c>
      <x:c r="M268" s="16" t="str">
        <x:f>IF(OR(K268="",L268=""),"",L268-K268)</x:f>
      </x:c>
      <x:c r="N268" s="16" t="str">
        <x:f>IF(AND(A268=A267,ISNUMBER(K268),ISNUMBER(K267)),K268-K267,"")</x:f>
      </x:c>
      <x:c r="O268" s="13" t="str">
        <x:v>Sem informação</x:v>
      </x:c>
      <x:c r="P268" s="26"/>
      <x:c r="Q268" s="13"/>
      <x:c r="R268" s="13"/>
      <x:c r="S268" s="13"/>
      <x:c r="T268" s="13"/>
    </x:row>
    <x:row r="269">
      <x:c r="A269" s="13" t="str">
        <x:v>Estevão</x:v>
      </x:c>
      <x:c r="B269" s="13" t="n">
        <x:v>2027</x:v>
      </x:c>
      <x:c r="C269" s="13" t="str">
        <x:v>T4</x:v>
      </x:c>
      <x:c r="D269" s="24" t="n">
        <x:v>46752</x:v>
      </x:c>
      <x:c r="E269" s="13" t="str">
        <x:v>Ponta-direita</x:v>
      </x:c>
      <x:c r="F269" s="13" t="str">
        <x:v>Chelsea FC</x:v>
      </x:c>
      <x:c r="G269" s="16"/>
      <x:c r="H269" s="16"/>
      <x:c r="I269" s="16"/>
      <x:c r="J269" s="16"/>
      <x:c r="K269" s="16" t="str">
        <x:f>IF(COUNT(G269,I269)=0,"",AVERAGE(G269,I269))</x:f>
      </x:c>
      <x:c r="L269" s="16" t="str">
        <x:f>IF(COUNT(H269,J269)=0,"",AVERAGE(H269,J269))</x:f>
      </x:c>
      <x:c r="M269" s="16" t="str">
        <x:f>IF(OR(K269="",L269=""),"",L269-K269)</x:f>
      </x:c>
      <x:c r="N269" s="16" t="str">
        <x:f>IF(AND(A269=A268,ISNUMBER(K269),ISNUMBER(K268)),K269-K268,"")</x:f>
      </x:c>
      <x:c r="O269" s="13" t="str">
        <x:v>Sem informação</x:v>
      </x:c>
      <x:c r="P269" s="26"/>
      <x:c r="Q269" s="13"/>
      <x:c r="R269" s="13"/>
      <x:c r="S269" s="13"/>
      <x:c r="T269" s="13"/>
    </x:row>
    <x:row r="270">
      <x:c r="A270" s="13" t="str">
        <x:v>Estevão</x:v>
      </x:c>
      <x:c r="B270" s="13" t="n">
        <x:v>2028</x:v>
      </x:c>
      <x:c r="C270" s="13" t="str">
        <x:v>T1</x:v>
      </x:c>
      <x:c r="D270" s="24" t="n">
        <x:v>46843</x:v>
      </x:c>
      <x:c r="E270" s="13" t="str">
        <x:v>Ponta-direita</x:v>
      </x:c>
      <x:c r="F270" s="13" t="str">
        <x:v>Chelsea FC</x:v>
      </x:c>
      <x:c r="G270" s="16"/>
      <x:c r="H270" s="16"/>
      <x:c r="I270" s="16"/>
      <x:c r="J270" s="16"/>
      <x:c r="K270" s="16" t="str">
        <x:f>IF(COUNT(G270,I270)=0,"",AVERAGE(G270,I270))</x:f>
      </x:c>
      <x:c r="L270" s="16" t="str">
        <x:f>IF(COUNT(H270,J270)=0,"",AVERAGE(H270,J270))</x:f>
      </x:c>
      <x:c r="M270" s="16" t="str">
        <x:f>IF(OR(K270="",L270=""),"",L270-K270)</x:f>
      </x:c>
      <x:c r="N270" s="16" t="str">
        <x:f>IF(AND(A270=A269,ISNUMBER(K270),ISNUMBER(K269)),K270-K269,"")</x:f>
      </x:c>
      <x:c r="O270" s="13" t="str">
        <x:v>Sem informação</x:v>
      </x:c>
      <x:c r="P270" s="26"/>
      <x:c r="Q270" s="13"/>
      <x:c r="R270" s="13"/>
      <x:c r="S270" s="13"/>
      <x:c r="T270" s="13"/>
    </x:row>
    <x:row r="271">
      <x:c r="A271" s="13" t="str">
        <x:v>Estevão</x:v>
      </x:c>
      <x:c r="B271" s="13" t="n">
        <x:v>2028</x:v>
      </x:c>
      <x:c r="C271" s="13" t="str">
        <x:v>T2</x:v>
      </x:c>
      <x:c r="D271" s="24" t="n">
        <x:v>46934</x:v>
      </x:c>
      <x:c r="E271" s="13" t="str">
        <x:v>Ponta-direita</x:v>
      </x:c>
      <x:c r="F271" s="13" t="str">
        <x:v>Chelsea FC</x:v>
      </x:c>
      <x:c r="G271" s="16"/>
      <x:c r="H271" s="16"/>
      <x:c r="I271" s="16"/>
      <x:c r="J271" s="16"/>
      <x:c r="K271" s="16" t="str">
        <x:f>IF(COUNT(G271,I271)=0,"",AVERAGE(G271,I271))</x:f>
      </x:c>
      <x:c r="L271" s="16" t="str">
        <x:f>IF(COUNT(H271,J271)=0,"",AVERAGE(H271,J271))</x:f>
      </x:c>
      <x:c r="M271" s="16" t="str">
        <x:f>IF(OR(K271="",L271=""),"",L271-K271)</x:f>
      </x:c>
      <x:c r="N271" s="16" t="str">
        <x:f>IF(AND(A271=A270,ISNUMBER(K271),ISNUMBER(K270)),K271-K270,"")</x:f>
      </x:c>
      <x:c r="O271" s="13" t="str">
        <x:v>Sem informação</x:v>
      </x:c>
      <x:c r="P271" s="26"/>
      <x:c r="Q271" s="13"/>
      <x:c r="R271" s="13"/>
      <x:c r="S271" s="13"/>
      <x:c r="T271" s="13"/>
    </x:row>
    <x:row r="272">
      <x:c r="A272" s="13" t="str">
        <x:v>Estevão</x:v>
      </x:c>
      <x:c r="B272" s="13" t="n">
        <x:v>2028</x:v>
      </x:c>
      <x:c r="C272" s="13" t="str">
        <x:v>T3</x:v>
      </x:c>
      <x:c r="D272" s="24" t="n">
        <x:v>47026</x:v>
      </x:c>
      <x:c r="E272" s="13" t="str">
        <x:v>Ponta-direita</x:v>
      </x:c>
      <x:c r="F272" s="13" t="str">
        <x:v>Chelsea FC</x:v>
      </x:c>
      <x:c r="G272" s="16"/>
      <x:c r="H272" s="16"/>
      <x:c r="I272" s="16"/>
      <x:c r="J272" s="16"/>
      <x:c r="K272" s="16" t="str">
        <x:f>IF(COUNT(G272,I272)=0,"",AVERAGE(G272,I272))</x:f>
      </x:c>
      <x:c r="L272" s="16" t="str">
        <x:f>IF(COUNT(H272,J272)=0,"",AVERAGE(H272,J272))</x:f>
      </x:c>
      <x:c r="M272" s="16" t="str">
        <x:f>IF(OR(K272="",L272=""),"",L272-K272)</x:f>
      </x:c>
      <x:c r="N272" s="16" t="str">
        <x:f>IF(AND(A272=A271,ISNUMBER(K272),ISNUMBER(K271)),K272-K271,"")</x:f>
      </x:c>
      <x:c r="O272" s="13" t="str">
        <x:v>Sem informação</x:v>
      </x:c>
      <x:c r="P272" s="26"/>
      <x:c r="Q272" s="13"/>
      <x:c r="R272" s="13"/>
      <x:c r="S272" s="13"/>
      <x:c r="T272" s="13"/>
    </x:row>
    <x:row r="273">
      <x:c r="A273" s="13" t="str">
        <x:v>Estevão</x:v>
      </x:c>
      <x:c r="B273" s="13" t="n">
        <x:v>2028</x:v>
      </x:c>
      <x:c r="C273" s="13" t="str">
        <x:v>T4</x:v>
      </x:c>
      <x:c r="D273" s="24" t="n">
        <x:v>47118</x:v>
      </x:c>
      <x:c r="E273" s="13" t="str">
        <x:v>Ponta-direita</x:v>
      </x:c>
      <x:c r="F273" s="13" t="str">
        <x:v>Chelsea FC</x:v>
      </x:c>
      <x:c r="G273" s="16"/>
      <x:c r="H273" s="16"/>
      <x:c r="I273" s="16"/>
      <x:c r="J273" s="16"/>
      <x:c r="K273" s="16" t="str">
        <x:f>IF(COUNT(G273,I273)=0,"",AVERAGE(G273,I273))</x:f>
      </x:c>
      <x:c r="L273" s="16" t="str">
        <x:f>IF(COUNT(H273,J273)=0,"",AVERAGE(H273,J273))</x:f>
      </x:c>
      <x:c r="M273" s="16" t="str">
        <x:f>IF(OR(K273="",L273=""),"",L273-K273)</x:f>
      </x:c>
      <x:c r="N273" s="16" t="str">
        <x:f>IF(AND(A273=A272,ISNUMBER(K273),ISNUMBER(K272)),K273-K272,"")</x:f>
      </x:c>
      <x:c r="O273" s="13" t="str">
        <x:v>Sem informação</x:v>
      </x:c>
      <x:c r="P273" s="26"/>
      <x:c r="Q273" s="13"/>
      <x:c r="R273" s="13"/>
      <x:c r="S273" s="13"/>
      <x:c r="T273" s="13"/>
    </x:row>
    <x:row r="274">
      <x:c r="A274" s="13" t="str">
        <x:v>Estevão</x:v>
      </x:c>
      <x:c r="B274" s="13" t="n">
        <x:v>2029</x:v>
      </x:c>
      <x:c r="C274" s="13" t="str">
        <x:v>T1</x:v>
      </x:c>
      <x:c r="D274" s="24" t="n">
        <x:v>47208</x:v>
      </x:c>
      <x:c r="E274" s="13" t="str">
        <x:v>Ponta-direita</x:v>
      </x:c>
      <x:c r="F274" s="13" t="str">
        <x:v>Chelsea FC</x:v>
      </x:c>
      <x:c r="G274" s="16"/>
      <x:c r="H274" s="16"/>
      <x:c r="I274" s="16"/>
      <x:c r="J274" s="16"/>
      <x:c r="K274" s="16" t="str">
        <x:f>IF(COUNT(G274,I274)=0,"",AVERAGE(G274,I274))</x:f>
      </x:c>
      <x:c r="L274" s="16" t="str">
        <x:f>IF(COUNT(H274,J274)=0,"",AVERAGE(H274,J274))</x:f>
      </x:c>
      <x:c r="M274" s="16" t="str">
        <x:f>IF(OR(K274="",L274=""),"",L274-K274)</x:f>
      </x:c>
      <x:c r="N274" s="16" t="str">
        <x:f>IF(AND(A274=A273,ISNUMBER(K274),ISNUMBER(K273)),K274-K273,"")</x:f>
      </x:c>
      <x:c r="O274" s="13" t="str">
        <x:v>Sem informação</x:v>
      </x:c>
      <x:c r="P274" s="26"/>
      <x:c r="Q274" s="13"/>
      <x:c r="R274" s="13"/>
      <x:c r="S274" s="13"/>
      <x:c r="T274" s="13"/>
    </x:row>
    <x:row r="275">
      <x:c r="A275" s="13" t="str">
        <x:v>Estevão</x:v>
      </x:c>
      <x:c r="B275" s="13" t="n">
        <x:v>2029</x:v>
      </x:c>
      <x:c r="C275" s="13" t="str">
        <x:v>T2</x:v>
      </x:c>
      <x:c r="D275" s="24" t="n">
        <x:v>47299</x:v>
      </x:c>
      <x:c r="E275" s="13" t="str">
        <x:v>Ponta-direita</x:v>
      </x:c>
      <x:c r="F275" s="13" t="str">
        <x:v>Chelsea FC</x:v>
      </x:c>
      <x:c r="G275" s="16"/>
      <x:c r="H275" s="16"/>
      <x:c r="I275" s="16"/>
      <x:c r="J275" s="16"/>
      <x:c r="K275" s="16" t="str">
        <x:f>IF(COUNT(G275,I275)=0,"",AVERAGE(G275,I275))</x:f>
      </x:c>
      <x:c r="L275" s="16" t="str">
        <x:f>IF(COUNT(H275,J275)=0,"",AVERAGE(H275,J275))</x:f>
      </x:c>
      <x:c r="M275" s="16" t="str">
        <x:f>IF(OR(K275="",L275=""),"",L275-K275)</x:f>
      </x:c>
      <x:c r="N275" s="16" t="str">
        <x:f>IF(AND(A275=A274,ISNUMBER(K275),ISNUMBER(K274)),K275-K274,"")</x:f>
      </x:c>
      <x:c r="O275" s="13" t="str">
        <x:v>Sem informação</x:v>
      </x:c>
      <x:c r="P275" s="26"/>
      <x:c r="Q275" s="13"/>
      <x:c r="R275" s="13"/>
      <x:c r="S275" s="13"/>
      <x:c r="T275" s="13"/>
    </x:row>
    <x:row r="276">
      <x:c r="A276" s="13" t="str">
        <x:v>Estevão</x:v>
      </x:c>
      <x:c r="B276" s="13" t="n">
        <x:v>2029</x:v>
      </x:c>
      <x:c r="C276" s="13" t="str">
        <x:v>T3</x:v>
      </x:c>
      <x:c r="D276" s="24" t="n">
        <x:v>47391</x:v>
      </x:c>
      <x:c r="E276" s="13" t="str">
        <x:v>Ponta-direita</x:v>
      </x:c>
      <x:c r="F276" s="13" t="str">
        <x:v>Chelsea FC</x:v>
      </x:c>
      <x:c r="G276" s="16"/>
      <x:c r="H276" s="16"/>
      <x:c r="I276" s="16"/>
      <x:c r="J276" s="16"/>
      <x:c r="K276" s="16" t="str">
        <x:f>IF(COUNT(G276,I276)=0,"",AVERAGE(G276,I276))</x:f>
      </x:c>
      <x:c r="L276" s="16" t="str">
        <x:f>IF(COUNT(H276,J276)=0,"",AVERAGE(H276,J276))</x:f>
      </x:c>
      <x:c r="M276" s="16" t="str">
        <x:f>IF(OR(K276="",L276=""),"",L276-K276)</x:f>
      </x:c>
      <x:c r="N276" s="16" t="str">
        <x:f>IF(AND(A276=A275,ISNUMBER(K276),ISNUMBER(K275)),K276-K275,"")</x:f>
      </x:c>
      <x:c r="O276" s="13" t="str">
        <x:v>Sem informação</x:v>
      </x:c>
      <x:c r="P276" s="26"/>
      <x:c r="Q276" s="13"/>
      <x:c r="R276" s="13"/>
      <x:c r="S276" s="13"/>
      <x:c r="T276" s="13"/>
    </x:row>
    <x:row r="277">
      <x:c r="A277" s="13" t="str">
        <x:v>Estevão</x:v>
      </x:c>
      <x:c r="B277" s="13" t="n">
        <x:v>2029</x:v>
      </x:c>
      <x:c r="C277" s="13" t="str">
        <x:v>T4</x:v>
      </x:c>
      <x:c r="D277" s="24" t="n">
        <x:v>47483</x:v>
      </x:c>
      <x:c r="E277" s="13" t="str">
        <x:v>Ponta-direita</x:v>
      </x:c>
      <x:c r="F277" s="13" t="str">
        <x:v>Chelsea FC</x:v>
      </x:c>
      <x:c r="G277" s="16"/>
      <x:c r="H277" s="16"/>
      <x:c r="I277" s="16"/>
      <x:c r="J277" s="16"/>
      <x:c r="K277" s="16" t="str">
        <x:f>IF(COUNT(G277,I277)=0,"",AVERAGE(G277,I277))</x:f>
      </x:c>
      <x:c r="L277" s="16" t="str">
        <x:f>IF(COUNT(H277,J277)=0,"",AVERAGE(H277,J277))</x:f>
      </x:c>
      <x:c r="M277" s="16" t="str">
        <x:f>IF(OR(K277="",L277=""),"",L277-K277)</x:f>
      </x:c>
      <x:c r="N277" s="16" t="str">
        <x:f>IF(AND(A277=A276,ISNUMBER(K277),ISNUMBER(K276)),K277-K276,"")</x:f>
      </x:c>
      <x:c r="O277" s="13" t="str">
        <x:v>Sem informação</x:v>
      </x:c>
      <x:c r="P277" s="26"/>
      <x:c r="Q277" s="13"/>
      <x:c r="R277" s="13"/>
      <x:c r="S277" s="13"/>
      <x:c r="T277" s="13"/>
    </x:row>
    <x:row r="278">
      <x:c r="A278" s="13" t="str">
        <x:v>Estevão</x:v>
      </x:c>
      <x:c r="B278" s="13" t="n">
        <x:v>2030</x:v>
      </x:c>
      <x:c r="C278" s="13" t="str">
        <x:v>T1</x:v>
      </x:c>
      <x:c r="D278" s="24" t="n">
        <x:v>47573</x:v>
      </x:c>
      <x:c r="E278" s="13" t="str">
        <x:v>Ponta-direita</x:v>
      </x:c>
      <x:c r="F278" s="13" t="str">
        <x:v>Chelsea FC</x:v>
      </x:c>
      <x:c r="G278" s="16"/>
      <x:c r="H278" s="16"/>
      <x:c r="I278" s="16"/>
      <x:c r="J278" s="16"/>
      <x:c r="K278" s="16" t="str">
        <x:f>IF(COUNT(G278,I278)=0,"",AVERAGE(G278,I278))</x:f>
      </x:c>
      <x:c r="L278" s="16" t="str">
        <x:f>IF(COUNT(H278,J278)=0,"",AVERAGE(H278,J278))</x:f>
      </x:c>
      <x:c r="M278" s="16" t="str">
        <x:f>IF(OR(K278="",L278=""),"",L278-K278)</x:f>
      </x:c>
      <x:c r="N278" s="16" t="str">
        <x:f>IF(AND(A278=A277,ISNUMBER(K278),ISNUMBER(K277)),K278-K277,"")</x:f>
      </x:c>
      <x:c r="O278" s="13" t="str">
        <x:v>Sem informação</x:v>
      </x:c>
      <x:c r="P278" s="26"/>
      <x:c r="Q278" s="13"/>
      <x:c r="R278" s="13"/>
      <x:c r="S278" s="13"/>
      <x:c r="T278" s="13"/>
    </x:row>
    <x:row r="279">
      <x:c r="A279" s="13" t="str">
        <x:v>Estevão</x:v>
      </x:c>
      <x:c r="B279" s="13" t="n">
        <x:v>2030</x:v>
      </x:c>
      <x:c r="C279" s="13" t="str">
        <x:v>T2</x:v>
      </x:c>
      <x:c r="D279" s="24" t="n">
        <x:v>47664</x:v>
      </x:c>
      <x:c r="E279" s="13" t="str">
        <x:v>Ponta-direita</x:v>
      </x:c>
      <x:c r="F279" s="13" t="str">
        <x:v>Chelsea FC</x:v>
      </x:c>
      <x:c r="G279" s="16"/>
      <x:c r="H279" s="16"/>
      <x:c r="I279" s="16"/>
      <x:c r="J279" s="16"/>
      <x:c r="K279" s="16" t="str">
        <x:f>IF(COUNT(G279,I279)=0,"",AVERAGE(G279,I279))</x:f>
      </x:c>
      <x:c r="L279" s="16" t="str">
        <x:f>IF(COUNT(H279,J279)=0,"",AVERAGE(H279,J279))</x:f>
      </x:c>
      <x:c r="M279" s="16" t="str">
        <x:f>IF(OR(K279="",L279=""),"",L279-K279)</x:f>
      </x:c>
      <x:c r="N279" s="16" t="str">
        <x:f>IF(AND(A279=A278,ISNUMBER(K279),ISNUMBER(K278)),K279-K278,"")</x:f>
      </x:c>
      <x:c r="O279" s="13" t="str">
        <x:v>Sem informação</x:v>
      </x:c>
      <x:c r="P279" s="26"/>
      <x:c r="Q279" s="13"/>
      <x:c r="R279" s="13"/>
      <x:c r="S279" s="13"/>
      <x:c r="T279" s="13"/>
    </x:row>
    <x:row r="280">
      <x:c r="A280" s="13" t="str">
        <x:v>Estevão</x:v>
      </x:c>
      <x:c r="B280" s="13" t="n">
        <x:v>2030</x:v>
      </x:c>
      <x:c r="C280" s="13" t="str">
        <x:v>T3</x:v>
      </x:c>
      <x:c r="D280" s="24" t="n">
        <x:v>47756</x:v>
      </x:c>
      <x:c r="E280" s="13" t="str">
        <x:v>Ponta-direita</x:v>
      </x:c>
      <x:c r="F280" s="13" t="str">
        <x:v>Chelsea FC</x:v>
      </x:c>
      <x:c r="G280" s="16"/>
      <x:c r="H280" s="16"/>
      <x:c r="I280" s="16"/>
      <x:c r="J280" s="16"/>
      <x:c r="K280" s="16" t="str">
        <x:f>IF(COUNT(G280,I280)=0,"",AVERAGE(G280,I280))</x:f>
      </x:c>
      <x:c r="L280" s="16" t="str">
        <x:f>IF(COUNT(H280,J280)=0,"",AVERAGE(H280,J280))</x:f>
      </x:c>
      <x:c r="M280" s="16" t="str">
        <x:f>IF(OR(K280="",L280=""),"",L280-K280)</x:f>
      </x:c>
      <x:c r="N280" s="16" t="str">
        <x:f>IF(AND(A280=A279,ISNUMBER(K280),ISNUMBER(K279)),K280-K279,"")</x:f>
      </x:c>
      <x:c r="O280" s="13" t="str">
        <x:v>Sem informação</x:v>
      </x:c>
      <x:c r="P280" s="26"/>
      <x:c r="Q280" s="13"/>
      <x:c r="R280" s="13"/>
      <x:c r="S280" s="13"/>
      <x:c r="T280" s="13"/>
    </x:row>
    <x:row r="281">
      <x:c r="A281" s="13" t="str">
        <x:v>Estevão</x:v>
      </x:c>
      <x:c r="B281" s="13" t="n">
        <x:v>2030</x:v>
      </x:c>
      <x:c r="C281" s="13" t="str">
        <x:v>T4</x:v>
      </x:c>
      <x:c r="D281" s="24" t="n">
        <x:v>47848</x:v>
      </x:c>
      <x:c r="E281" s="13" t="str">
        <x:v>Ponta-direita</x:v>
      </x:c>
      <x:c r="F281" s="13" t="str">
        <x:v>Chelsea FC</x:v>
      </x:c>
      <x:c r="G281" s="16"/>
      <x:c r="H281" s="16"/>
      <x:c r="I281" s="16"/>
      <x:c r="J281" s="16"/>
      <x:c r="K281" s="16" t="str">
        <x:f>IF(COUNT(G281,I281)=0,"",AVERAGE(G281,I281))</x:f>
      </x:c>
      <x:c r="L281" s="16" t="str">
        <x:f>IF(COUNT(H281,J281)=0,"",AVERAGE(H281,J281))</x:f>
      </x:c>
      <x:c r="M281" s="16" t="str">
        <x:f>IF(OR(K281="",L281=""),"",L281-K281)</x:f>
      </x:c>
      <x:c r="N281" s="16" t="str">
        <x:f>IF(AND(A281=A280,ISNUMBER(K281),ISNUMBER(K280)),K281-K280,"")</x:f>
      </x:c>
      <x:c r="O281" s="13" t="str">
        <x:v>Sem informação</x:v>
      </x:c>
      <x:c r="P281" s="26"/>
      <x:c r="Q281" s="13"/>
      <x:c r="R281" s="13"/>
      <x:c r="S281" s="13"/>
      <x:c r="T281" s="13"/>
    </x:row>
    <x:row r="282">
      <x:c r="A282" s="13" t="str">
        <x:v>Gabriel Magalhães</x:v>
      </x:c>
      <x:c r="B282" s="13" t="n">
        <x:v>2026</x:v>
      </x:c>
      <x:c r="C282" s="13" t="str">
        <x:v>T1</x:v>
      </x:c>
      <x:c r="D282" s="24" t="n">
        <x:v>46112</x:v>
      </x:c>
      <x:c r="E282" s="13" t="str">
        <x:v>Zagueiro</x:v>
      </x:c>
      <x:c r="F282" s="13" t="str">
        <x:v>FC Arsenal</x:v>
      </x:c>
      <x:c r="G282" s="16"/>
      <x:c r="H282" s="16"/>
      <x:c r="I282" s="16"/>
      <x:c r="J282" s="16"/>
      <x:c r="K282" s="16" t="str">
        <x:f>IF(COUNT(G282,I282)=0,"",AVERAGE(G282,I282))</x:f>
      </x:c>
      <x:c r="L282" s="16" t="str">
        <x:f>IF(COUNT(H282,J282)=0,"",AVERAGE(H282,J282))</x:f>
      </x:c>
      <x:c r="M282" s="16" t="str">
        <x:f>IF(OR(K282="",L282=""),"",L282-K282)</x:f>
      </x:c>
      <x:c r="N282" s="16" t="str">
        <x:f>IF(AND(A282=A281,ISNUMBER(K282),ISNUMBER(K281)),K282-K281,"")</x:f>
      </x:c>
      <x:c r="O282" s="13" t="str">
        <x:v>Sem informação</x:v>
      </x:c>
      <x:c r="P282" s="26"/>
      <x:c r="Q282" s="13"/>
      <x:c r="R282" s="13"/>
      <x:c r="S282" s="13"/>
      <x:c r="T282" s="13"/>
    </x:row>
    <x:row r="283">
      <x:c r="A283" s="13" t="str">
        <x:v>Gabriel Magalhães</x:v>
      </x:c>
      <x:c r="B283" s="13" t="n">
        <x:v>2026</x:v>
      </x:c>
      <x:c r="C283" s="13" t="str">
        <x:v>T2</x:v>
      </x:c>
      <x:c r="D283" s="24" t="n">
        <x:v>46203</x:v>
      </x:c>
      <x:c r="E283" s="13" t="str">
        <x:v>Zagueiro</x:v>
      </x:c>
      <x:c r="F283" s="13" t="str">
        <x:v>FC Arsenal</x:v>
      </x:c>
      <x:c r="G283" s="16"/>
      <x:c r="H283" s="16"/>
      <x:c r="I283" s="16"/>
      <x:c r="J283" s="16"/>
      <x:c r="K283" s="16" t="str">
        <x:f>IF(COUNT(G283,I283)=0,"",AVERAGE(G283,I283))</x:f>
      </x:c>
      <x:c r="L283" s="16" t="str">
        <x:f>IF(COUNT(H283,J283)=0,"",AVERAGE(H283,J283))</x:f>
      </x:c>
      <x:c r="M283" s="16" t="str">
        <x:f>IF(OR(K283="",L283=""),"",L283-K283)</x:f>
      </x:c>
      <x:c r="N283" s="16" t="str">
        <x:f>IF(AND(A283=A282,ISNUMBER(K283),ISNUMBER(K282)),K283-K282,"")</x:f>
      </x:c>
      <x:c r="O283" s="13" t="str">
        <x:v>Sem informação</x:v>
      </x:c>
      <x:c r="P283" s="26"/>
      <x:c r="Q283" s="13"/>
      <x:c r="R283" s="13"/>
      <x:c r="S283" s="13"/>
      <x:c r="T283" s="13"/>
    </x:row>
    <x:row r="284">
      <x:c r="A284" s="13" t="str">
        <x:v>Gabriel Magalhães</x:v>
      </x:c>
      <x:c r="B284" s="13" t="n">
        <x:v>2026</x:v>
      </x:c>
      <x:c r="C284" s="13" t="str">
        <x:v>T3</x:v>
      </x:c>
      <x:c r="D284" s="24" t="n">
        <x:v>46295</x:v>
      </x:c>
      <x:c r="E284" s="13" t="str">
        <x:v>Zagueiro</x:v>
      </x:c>
      <x:c r="F284" s="13" t="str">
        <x:v>FC Arsenal</x:v>
      </x:c>
      <x:c r="G284" s="16"/>
      <x:c r="H284" s="16"/>
      <x:c r="I284" s="16"/>
      <x:c r="J284" s="16"/>
      <x:c r="K284" s="16" t="str">
        <x:f>IF(COUNT(G284,I284)=0,"",AVERAGE(G284,I284))</x:f>
      </x:c>
      <x:c r="L284" s="16" t="str">
        <x:f>IF(COUNT(H284,J284)=0,"",AVERAGE(H284,J284))</x:f>
      </x:c>
      <x:c r="M284" s="16" t="str">
        <x:f>IF(OR(K284="",L284=""),"",L284-K284)</x:f>
      </x:c>
      <x:c r="N284" s="16" t="str">
        <x:f>IF(AND(A284=A283,ISNUMBER(K284),ISNUMBER(K283)),K284-K283,"")</x:f>
      </x:c>
      <x:c r="O284" s="13" t="str">
        <x:v>Sem informação</x:v>
      </x:c>
      <x:c r="P284" s="26"/>
      <x:c r="Q284" s="13"/>
      <x:c r="R284" s="13"/>
      <x:c r="S284" s="13"/>
      <x:c r="T284" s="13"/>
    </x:row>
    <x:row r="285">
      <x:c r="A285" s="13" t="str">
        <x:v>Gabriel Magalhães</x:v>
      </x:c>
      <x:c r="B285" s="13" t="n">
        <x:v>2026</x:v>
      </x:c>
      <x:c r="C285" s="13" t="str">
        <x:v>T4</x:v>
      </x:c>
      <x:c r="D285" s="24" t="n">
        <x:v>46387</x:v>
      </x:c>
      <x:c r="E285" s="13" t="str">
        <x:v>Zagueiro</x:v>
      </x:c>
      <x:c r="F285" s="13" t="str">
        <x:v>FC Arsenal</x:v>
      </x:c>
      <x:c r="G285" s="16"/>
      <x:c r="H285" s="16"/>
      <x:c r="I285" s="16"/>
      <x:c r="J285" s="16"/>
      <x:c r="K285" s="16" t="str">
        <x:f>IF(COUNT(G285,I285)=0,"",AVERAGE(G285,I285))</x:f>
      </x:c>
      <x:c r="L285" s="16" t="str">
        <x:f>IF(COUNT(H285,J285)=0,"",AVERAGE(H285,J285))</x:f>
      </x:c>
      <x:c r="M285" s="16" t="str">
        <x:f>IF(OR(K285="",L285=""),"",L285-K285)</x:f>
      </x:c>
      <x:c r="N285" s="16" t="str">
        <x:f>IF(AND(A285=A284,ISNUMBER(K285),ISNUMBER(K284)),K285-K284,"")</x:f>
      </x:c>
      <x:c r="O285" s="13" t="str">
        <x:v>Sem informação</x:v>
      </x:c>
      <x:c r="P285" s="26"/>
      <x:c r="Q285" s="13"/>
      <x:c r="R285" s="13"/>
      <x:c r="S285" s="13"/>
      <x:c r="T285" s="13"/>
    </x:row>
    <x:row r="286">
      <x:c r="A286" s="13" t="str">
        <x:v>Gabriel Magalhães</x:v>
      </x:c>
      <x:c r="B286" s="13" t="n">
        <x:v>2027</x:v>
      </x:c>
      <x:c r="C286" s="13" t="str">
        <x:v>T1</x:v>
      </x:c>
      <x:c r="D286" s="24" t="n">
        <x:v>46477</x:v>
      </x:c>
      <x:c r="E286" s="13" t="str">
        <x:v>Zagueiro</x:v>
      </x:c>
      <x:c r="F286" s="13" t="str">
        <x:v>FC Arsenal</x:v>
      </x:c>
      <x:c r="G286" s="16"/>
      <x:c r="H286" s="16"/>
      <x:c r="I286" s="16"/>
      <x:c r="J286" s="16"/>
      <x:c r="K286" s="16" t="str">
        <x:f>IF(COUNT(G286,I286)=0,"",AVERAGE(G286,I286))</x:f>
      </x:c>
      <x:c r="L286" s="16" t="str">
        <x:f>IF(COUNT(H286,J286)=0,"",AVERAGE(H286,J286))</x:f>
      </x:c>
      <x:c r="M286" s="16" t="str">
        <x:f>IF(OR(K286="",L286=""),"",L286-K286)</x:f>
      </x:c>
      <x:c r="N286" s="16" t="str">
        <x:f>IF(AND(A286=A285,ISNUMBER(K286),ISNUMBER(K285)),K286-K285,"")</x:f>
      </x:c>
      <x:c r="O286" s="13" t="str">
        <x:v>Sem informação</x:v>
      </x:c>
      <x:c r="P286" s="26"/>
      <x:c r="Q286" s="13"/>
      <x:c r="R286" s="13"/>
      <x:c r="S286" s="13"/>
      <x:c r="T286" s="13"/>
    </x:row>
    <x:row r="287">
      <x:c r="A287" s="13" t="str">
        <x:v>Gabriel Magalhães</x:v>
      </x:c>
      <x:c r="B287" s="13" t="n">
        <x:v>2027</x:v>
      </x:c>
      <x:c r="C287" s="13" t="str">
        <x:v>T2</x:v>
      </x:c>
      <x:c r="D287" s="24" t="n">
        <x:v>46568</x:v>
      </x:c>
      <x:c r="E287" s="13" t="str">
        <x:v>Zagueiro</x:v>
      </x:c>
      <x:c r="F287" s="13" t="str">
        <x:v>FC Arsenal</x:v>
      </x:c>
      <x:c r="G287" s="16"/>
      <x:c r="H287" s="16"/>
      <x:c r="I287" s="16"/>
      <x:c r="J287" s="16"/>
      <x:c r="K287" s="16" t="str">
        <x:f>IF(COUNT(G287,I287)=0,"",AVERAGE(G287,I287))</x:f>
      </x:c>
      <x:c r="L287" s="16" t="str">
        <x:f>IF(COUNT(H287,J287)=0,"",AVERAGE(H287,J287))</x:f>
      </x:c>
      <x:c r="M287" s="16" t="str">
        <x:f>IF(OR(K287="",L287=""),"",L287-K287)</x:f>
      </x:c>
      <x:c r="N287" s="16" t="str">
        <x:f>IF(AND(A287=A286,ISNUMBER(K287),ISNUMBER(K286)),K287-K286,"")</x:f>
      </x:c>
      <x:c r="O287" s="13" t="str">
        <x:v>Sem informação</x:v>
      </x:c>
      <x:c r="P287" s="26"/>
      <x:c r="Q287" s="13"/>
      <x:c r="R287" s="13"/>
      <x:c r="S287" s="13"/>
      <x:c r="T287" s="13"/>
    </x:row>
    <x:row r="288">
      <x:c r="A288" s="13" t="str">
        <x:v>Gabriel Magalhães</x:v>
      </x:c>
      <x:c r="B288" s="13" t="n">
        <x:v>2027</x:v>
      </x:c>
      <x:c r="C288" s="13" t="str">
        <x:v>T3</x:v>
      </x:c>
      <x:c r="D288" s="24" t="n">
        <x:v>46660</x:v>
      </x:c>
      <x:c r="E288" s="13" t="str">
        <x:v>Zagueiro</x:v>
      </x:c>
      <x:c r="F288" s="13" t="str">
        <x:v>FC Arsenal</x:v>
      </x:c>
      <x:c r="G288" s="16"/>
      <x:c r="H288" s="16"/>
      <x:c r="I288" s="16"/>
      <x:c r="J288" s="16"/>
      <x:c r="K288" s="16" t="str">
        <x:f>IF(COUNT(G288,I288)=0,"",AVERAGE(G288,I288))</x:f>
      </x:c>
      <x:c r="L288" s="16" t="str">
        <x:f>IF(COUNT(H288,J288)=0,"",AVERAGE(H288,J288))</x:f>
      </x:c>
      <x:c r="M288" s="16" t="str">
        <x:f>IF(OR(K288="",L288=""),"",L288-K288)</x:f>
      </x:c>
      <x:c r="N288" s="16" t="str">
        <x:f>IF(AND(A288=A287,ISNUMBER(K288),ISNUMBER(K287)),K288-K287,"")</x:f>
      </x:c>
      <x:c r="O288" s="13" t="str">
        <x:v>Sem informação</x:v>
      </x:c>
      <x:c r="P288" s="26"/>
      <x:c r="Q288" s="13"/>
      <x:c r="R288" s="13"/>
      <x:c r="S288" s="13"/>
      <x:c r="T288" s="13"/>
    </x:row>
    <x:row r="289">
      <x:c r="A289" s="13" t="str">
        <x:v>Gabriel Magalhães</x:v>
      </x:c>
      <x:c r="B289" s="13" t="n">
        <x:v>2027</x:v>
      </x:c>
      <x:c r="C289" s="13" t="str">
        <x:v>T4</x:v>
      </x:c>
      <x:c r="D289" s="24" t="n">
        <x:v>46752</x:v>
      </x:c>
      <x:c r="E289" s="13" t="str">
        <x:v>Zagueiro</x:v>
      </x:c>
      <x:c r="F289" s="13" t="str">
        <x:v>FC Arsenal</x:v>
      </x:c>
      <x:c r="G289" s="16"/>
      <x:c r="H289" s="16"/>
      <x:c r="I289" s="16"/>
      <x:c r="J289" s="16"/>
      <x:c r="K289" s="16" t="str">
        <x:f>IF(COUNT(G289,I289)=0,"",AVERAGE(G289,I289))</x:f>
      </x:c>
      <x:c r="L289" s="16" t="str">
        <x:f>IF(COUNT(H289,J289)=0,"",AVERAGE(H289,J289))</x:f>
      </x:c>
      <x:c r="M289" s="16" t="str">
        <x:f>IF(OR(K289="",L289=""),"",L289-K289)</x:f>
      </x:c>
      <x:c r="N289" s="16" t="str">
        <x:f>IF(AND(A289=A288,ISNUMBER(K289),ISNUMBER(K288)),K289-K288,"")</x:f>
      </x:c>
      <x:c r="O289" s="13" t="str">
        <x:v>Sem informação</x:v>
      </x:c>
      <x:c r="P289" s="26"/>
      <x:c r="Q289" s="13"/>
      <x:c r="R289" s="13"/>
      <x:c r="S289" s="13"/>
      <x:c r="T289" s="13"/>
    </x:row>
    <x:row r="290">
      <x:c r="A290" s="13" t="str">
        <x:v>Gabriel Magalhães</x:v>
      </x:c>
      <x:c r="B290" s="13" t="n">
        <x:v>2028</x:v>
      </x:c>
      <x:c r="C290" s="13" t="str">
        <x:v>T1</x:v>
      </x:c>
      <x:c r="D290" s="24" t="n">
        <x:v>46843</x:v>
      </x:c>
      <x:c r="E290" s="13" t="str">
        <x:v>Zagueiro</x:v>
      </x:c>
      <x:c r="F290" s="13" t="str">
        <x:v>FC Arsenal</x:v>
      </x:c>
      <x:c r="G290" s="16"/>
      <x:c r="H290" s="16"/>
      <x:c r="I290" s="16"/>
      <x:c r="J290" s="16"/>
      <x:c r="K290" s="16" t="str">
        <x:f>IF(COUNT(G290,I290)=0,"",AVERAGE(G290,I290))</x:f>
      </x:c>
      <x:c r="L290" s="16" t="str">
        <x:f>IF(COUNT(H290,J290)=0,"",AVERAGE(H290,J290))</x:f>
      </x:c>
      <x:c r="M290" s="16" t="str">
        <x:f>IF(OR(K290="",L290=""),"",L290-K290)</x:f>
      </x:c>
      <x:c r="N290" s="16" t="str">
        <x:f>IF(AND(A290=A289,ISNUMBER(K290),ISNUMBER(K289)),K290-K289,"")</x:f>
      </x:c>
      <x:c r="O290" s="13" t="str">
        <x:v>Sem informação</x:v>
      </x:c>
      <x:c r="P290" s="26"/>
      <x:c r="Q290" s="13"/>
      <x:c r="R290" s="13"/>
      <x:c r="S290" s="13"/>
      <x:c r="T290" s="13"/>
    </x:row>
    <x:row r="291">
      <x:c r="A291" s="13" t="str">
        <x:v>Gabriel Magalhães</x:v>
      </x:c>
      <x:c r="B291" s="13" t="n">
        <x:v>2028</x:v>
      </x:c>
      <x:c r="C291" s="13" t="str">
        <x:v>T2</x:v>
      </x:c>
      <x:c r="D291" s="24" t="n">
        <x:v>46934</x:v>
      </x:c>
      <x:c r="E291" s="13" t="str">
        <x:v>Zagueiro</x:v>
      </x:c>
      <x:c r="F291" s="13" t="str">
        <x:v>FC Arsenal</x:v>
      </x:c>
      <x:c r="G291" s="16"/>
      <x:c r="H291" s="16"/>
      <x:c r="I291" s="16"/>
      <x:c r="J291" s="16"/>
      <x:c r="K291" s="16" t="str">
        <x:f>IF(COUNT(G291,I291)=0,"",AVERAGE(G291,I291))</x:f>
      </x:c>
      <x:c r="L291" s="16" t="str">
        <x:f>IF(COUNT(H291,J291)=0,"",AVERAGE(H291,J291))</x:f>
      </x:c>
      <x:c r="M291" s="16" t="str">
        <x:f>IF(OR(K291="",L291=""),"",L291-K291)</x:f>
      </x:c>
      <x:c r="N291" s="16" t="str">
        <x:f>IF(AND(A291=A290,ISNUMBER(K291),ISNUMBER(K290)),K291-K290,"")</x:f>
      </x:c>
      <x:c r="O291" s="13" t="str">
        <x:v>Sem informação</x:v>
      </x:c>
      <x:c r="P291" s="26"/>
      <x:c r="Q291" s="13"/>
      <x:c r="R291" s="13"/>
      <x:c r="S291" s="13"/>
      <x:c r="T291" s="13"/>
    </x:row>
    <x:row r="292">
      <x:c r="A292" s="13" t="str">
        <x:v>Gabriel Magalhães</x:v>
      </x:c>
      <x:c r="B292" s="13" t="n">
        <x:v>2028</x:v>
      </x:c>
      <x:c r="C292" s="13" t="str">
        <x:v>T3</x:v>
      </x:c>
      <x:c r="D292" s="24" t="n">
        <x:v>47026</x:v>
      </x:c>
      <x:c r="E292" s="13" t="str">
        <x:v>Zagueiro</x:v>
      </x:c>
      <x:c r="F292" s="13" t="str">
        <x:v>FC Arsenal</x:v>
      </x:c>
      <x:c r="G292" s="16"/>
      <x:c r="H292" s="16"/>
      <x:c r="I292" s="16"/>
      <x:c r="J292" s="16"/>
      <x:c r="K292" s="16" t="str">
        <x:f>IF(COUNT(G292,I292)=0,"",AVERAGE(G292,I292))</x:f>
      </x:c>
      <x:c r="L292" s="16" t="str">
        <x:f>IF(COUNT(H292,J292)=0,"",AVERAGE(H292,J292))</x:f>
      </x:c>
      <x:c r="M292" s="16" t="str">
        <x:f>IF(OR(K292="",L292=""),"",L292-K292)</x:f>
      </x:c>
      <x:c r="N292" s="16" t="str">
        <x:f>IF(AND(A292=A291,ISNUMBER(K292),ISNUMBER(K291)),K292-K291,"")</x:f>
      </x:c>
      <x:c r="O292" s="13" t="str">
        <x:v>Sem informação</x:v>
      </x:c>
      <x:c r="P292" s="26"/>
      <x:c r="Q292" s="13"/>
      <x:c r="R292" s="13"/>
      <x:c r="S292" s="13"/>
      <x:c r="T292" s="13"/>
    </x:row>
    <x:row r="293">
      <x:c r="A293" s="13" t="str">
        <x:v>Gabriel Magalhães</x:v>
      </x:c>
      <x:c r="B293" s="13" t="n">
        <x:v>2028</x:v>
      </x:c>
      <x:c r="C293" s="13" t="str">
        <x:v>T4</x:v>
      </x:c>
      <x:c r="D293" s="24" t="n">
        <x:v>47118</x:v>
      </x:c>
      <x:c r="E293" s="13" t="str">
        <x:v>Zagueiro</x:v>
      </x:c>
      <x:c r="F293" s="13" t="str">
        <x:v>FC Arsenal</x:v>
      </x:c>
      <x:c r="G293" s="16"/>
      <x:c r="H293" s="16"/>
      <x:c r="I293" s="16"/>
      <x:c r="J293" s="16"/>
      <x:c r="K293" s="16" t="str">
        <x:f>IF(COUNT(G293,I293)=0,"",AVERAGE(G293,I293))</x:f>
      </x:c>
      <x:c r="L293" s="16" t="str">
        <x:f>IF(COUNT(H293,J293)=0,"",AVERAGE(H293,J293))</x:f>
      </x:c>
      <x:c r="M293" s="16" t="str">
        <x:f>IF(OR(K293="",L293=""),"",L293-K293)</x:f>
      </x:c>
      <x:c r="N293" s="16" t="str">
        <x:f>IF(AND(A293=A292,ISNUMBER(K293),ISNUMBER(K292)),K293-K292,"")</x:f>
      </x:c>
      <x:c r="O293" s="13" t="str">
        <x:v>Sem informação</x:v>
      </x:c>
      <x:c r="P293" s="26"/>
      <x:c r="Q293" s="13"/>
      <x:c r="R293" s="13"/>
      <x:c r="S293" s="13"/>
      <x:c r="T293" s="13"/>
    </x:row>
    <x:row r="294">
      <x:c r="A294" s="13" t="str">
        <x:v>Gabriel Magalhães</x:v>
      </x:c>
      <x:c r="B294" s="13" t="n">
        <x:v>2029</x:v>
      </x:c>
      <x:c r="C294" s="13" t="str">
        <x:v>T1</x:v>
      </x:c>
      <x:c r="D294" s="24" t="n">
        <x:v>47208</x:v>
      </x:c>
      <x:c r="E294" s="13" t="str">
        <x:v>Zagueiro</x:v>
      </x:c>
      <x:c r="F294" s="13" t="str">
        <x:v>FC Arsenal</x:v>
      </x:c>
      <x:c r="G294" s="16"/>
      <x:c r="H294" s="16"/>
      <x:c r="I294" s="16"/>
      <x:c r="J294" s="16"/>
      <x:c r="K294" s="16" t="str">
        <x:f>IF(COUNT(G294,I294)=0,"",AVERAGE(G294,I294))</x:f>
      </x:c>
      <x:c r="L294" s="16" t="str">
        <x:f>IF(COUNT(H294,J294)=0,"",AVERAGE(H294,J294))</x:f>
      </x:c>
      <x:c r="M294" s="16" t="str">
        <x:f>IF(OR(K294="",L294=""),"",L294-K294)</x:f>
      </x:c>
      <x:c r="N294" s="16" t="str">
        <x:f>IF(AND(A294=A293,ISNUMBER(K294),ISNUMBER(K293)),K294-K293,"")</x:f>
      </x:c>
      <x:c r="O294" s="13" t="str">
        <x:v>Sem informação</x:v>
      </x:c>
      <x:c r="P294" s="26"/>
      <x:c r="Q294" s="13"/>
      <x:c r="R294" s="13"/>
      <x:c r="S294" s="13"/>
      <x:c r="T294" s="13"/>
    </x:row>
    <x:row r="295">
      <x:c r="A295" s="13" t="str">
        <x:v>Gabriel Magalhães</x:v>
      </x:c>
      <x:c r="B295" s="13" t="n">
        <x:v>2029</x:v>
      </x:c>
      <x:c r="C295" s="13" t="str">
        <x:v>T2</x:v>
      </x:c>
      <x:c r="D295" s="24" t="n">
        <x:v>47299</x:v>
      </x:c>
      <x:c r="E295" s="13" t="str">
        <x:v>Zagueiro</x:v>
      </x:c>
      <x:c r="F295" s="13" t="str">
        <x:v>FC Arsenal</x:v>
      </x:c>
      <x:c r="G295" s="16"/>
      <x:c r="H295" s="16"/>
      <x:c r="I295" s="16"/>
      <x:c r="J295" s="16"/>
      <x:c r="K295" s="16" t="str">
        <x:f>IF(COUNT(G295,I295)=0,"",AVERAGE(G295,I295))</x:f>
      </x:c>
      <x:c r="L295" s="16" t="str">
        <x:f>IF(COUNT(H295,J295)=0,"",AVERAGE(H295,J295))</x:f>
      </x:c>
      <x:c r="M295" s="16" t="str">
        <x:f>IF(OR(K295="",L295=""),"",L295-K295)</x:f>
      </x:c>
      <x:c r="N295" s="16" t="str">
        <x:f>IF(AND(A295=A294,ISNUMBER(K295),ISNUMBER(K294)),K295-K294,"")</x:f>
      </x:c>
      <x:c r="O295" s="13" t="str">
        <x:v>Sem informação</x:v>
      </x:c>
      <x:c r="P295" s="26"/>
      <x:c r="Q295" s="13"/>
      <x:c r="R295" s="13"/>
      <x:c r="S295" s="13"/>
      <x:c r="T295" s="13"/>
    </x:row>
    <x:row r="296">
      <x:c r="A296" s="13" t="str">
        <x:v>Gabriel Magalhães</x:v>
      </x:c>
      <x:c r="B296" s="13" t="n">
        <x:v>2029</x:v>
      </x:c>
      <x:c r="C296" s="13" t="str">
        <x:v>T3</x:v>
      </x:c>
      <x:c r="D296" s="24" t="n">
        <x:v>47391</x:v>
      </x:c>
      <x:c r="E296" s="13" t="str">
        <x:v>Zagueiro</x:v>
      </x:c>
      <x:c r="F296" s="13" t="str">
        <x:v>FC Arsenal</x:v>
      </x:c>
      <x:c r="G296" s="16"/>
      <x:c r="H296" s="16"/>
      <x:c r="I296" s="16"/>
      <x:c r="J296" s="16"/>
      <x:c r="K296" s="16" t="str">
        <x:f>IF(COUNT(G296,I296)=0,"",AVERAGE(G296,I296))</x:f>
      </x:c>
      <x:c r="L296" s="16" t="str">
        <x:f>IF(COUNT(H296,J296)=0,"",AVERAGE(H296,J296))</x:f>
      </x:c>
      <x:c r="M296" s="16" t="str">
        <x:f>IF(OR(K296="",L296=""),"",L296-K296)</x:f>
      </x:c>
      <x:c r="N296" s="16" t="str">
        <x:f>IF(AND(A296=A295,ISNUMBER(K296),ISNUMBER(K295)),K296-K295,"")</x:f>
      </x:c>
      <x:c r="O296" s="13" t="str">
        <x:v>Sem informação</x:v>
      </x:c>
      <x:c r="P296" s="26"/>
      <x:c r="Q296" s="13"/>
      <x:c r="R296" s="13"/>
      <x:c r="S296" s="13"/>
      <x:c r="T296" s="13"/>
    </x:row>
    <x:row r="297">
      <x:c r="A297" s="13" t="str">
        <x:v>Gabriel Magalhães</x:v>
      </x:c>
      <x:c r="B297" s="13" t="n">
        <x:v>2029</x:v>
      </x:c>
      <x:c r="C297" s="13" t="str">
        <x:v>T4</x:v>
      </x:c>
      <x:c r="D297" s="24" t="n">
        <x:v>47483</x:v>
      </x:c>
      <x:c r="E297" s="13" t="str">
        <x:v>Zagueiro</x:v>
      </x:c>
      <x:c r="F297" s="13" t="str">
        <x:v>FC Arsenal</x:v>
      </x:c>
      <x:c r="G297" s="16"/>
      <x:c r="H297" s="16"/>
      <x:c r="I297" s="16"/>
      <x:c r="J297" s="16"/>
      <x:c r="K297" s="16" t="str">
        <x:f>IF(COUNT(G297,I297)=0,"",AVERAGE(G297,I297))</x:f>
      </x:c>
      <x:c r="L297" s="16" t="str">
        <x:f>IF(COUNT(H297,J297)=0,"",AVERAGE(H297,J297))</x:f>
      </x:c>
      <x:c r="M297" s="16" t="str">
        <x:f>IF(OR(K297="",L297=""),"",L297-K297)</x:f>
      </x:c>
      <x:c r="N297" s="16" t="str">
        <x:f>IF(AND(A297=A296,ISNUMBER(K297),ISNUMBER(K296)),K297-K296,"")</x:f>
      </x:c>
      <x:c r="O297" s="13" t="str">
        <x:v>Sem informação</x:v>
      </x:c>
      <x:c r="P297" s="26"/>
      <x:c r="Q297" s="13"/>
      <x:c r="R297" s="13"/>
      <x:c r="S297" s="13"/>
      <x:c r="T297" s="13"/>
    </x:row>
    <x:row r="298">
      <x:c r="A298" s="13" t="str">
        <x:v>Gabriel Magalhães</x:v>
      </x:c>
      <x:c r="B298" s="13" t="n">
        <x:v>2030</x:v>
      </x:c>
      <x:c r="C298" s="13" t="str">
        <x:v>T1</x:v>
      </x:c>
      <x:c r="D298" s="24" t="n">
        <x:v>47573</x:v>
      </x:c>
      <x:c r="E298" s="13" t="str">
        <x:v>Zagueiro</x:v>
      </x:c>
      <x:c r="F298" s="13" t="str">
        <x:v>FC Arsenal</x:v>
      </x:c>
      <x:c r="G298" s="16"/>
      <x:c r="H298" s="16"/>
      <x:c r="I298" s="16"/>
      <x:c r="J298" s="16"/>
      <x:c r="K298" s="16" t="str">
        <x:f>IF(COUNT(G298,I298)=0,"",AVERAGE(G298,I298))</x:f>
      </x:c>
      <x:c r="L298" s="16" t="str">
        <x:f>IF(COUNT(H298,J298)=0,"",AVERAGE(H298,J298))</x:f>
      </x:c>
      <x:c r="M298" s="16" t="str">
        <x:f>IF(OR(K298="",L298=""),"",L298-K298)</x:f>
      </x:c>
      <x:c r="N298" s="16" t="str">
        <x:f>IF(AND(A298=A297,ISNUMBER(K298),ISNUMBER(K297)),K298-K297,"")</x:f>
      </x:c>
      <x:c r="O298" s="13" t="str">
        <x:v>Sem informação</x:v>
      </x:c>
      <x:c r="P298" s="26"/>
      <x:c r="Q298" s="13"/>
      <x:c r="R298" s="13"/>
      <x:c r="S298" s="13"/>
      <x:c r="T298" s="13"/>
    </x:row>
    <x:row r="299">
      <x:c r="A299" s="13" t="str">
        <x:v>Gabriel Magalhães</x:v>
      </x:c>
      <x:c r="B299" s="13" t="n">
        <x:v>2030</x:v>
      </x:c>
      <x:c r="C299" s="13" t="str">
        <x:v>T2</x:v>
      </x:c>
      <x:c r="D299" s="24" t="n">
        <x:v>47664</x:v>
      </x:c>
      <x:c r="E299" s="13" t="str">
        <x:v>Zagueiro</x:v>
      </x:c>
      <x:c r="F299" s="13" t="str">
        <x:v>FC Arsenal</x:v>
      </x:c>
      <x:c r="G299" s="16"/>
      <x:c r="H299" s="16"/>
      <x:c r="I299" s="16"/>
      <x:c r="J299" s="16"/>
      <x:c r="K299" s="16" t="str">
        <x:f>IF(COUNT(G299,I299)=0,"",AVERAGE(G299,I299))</x:f>
      </x:c>
      <x:c r="L299" s="16" t="str">
        <x:f>IF(COUNT(H299,J299)=0,"",AVERAGE(H299,J299))</x:f>
      </x:c>
      <x:c r="M299" s="16" t="str">
        <x:f>IF(OR(K299="",L299=""),"",L299-K299)</x:f>
      </x:c>
      <x:c r="N299" s="16" t="str">
        <x:f>IF(AND(A299=A298,ISNUMBER(K299),ISNUMBER(K298)),K299-K298,"")</x:f>
      </x:c>
      <x:c r="O299" s="13" t="str">
        <x:v>Sem informação</x:v>
      </x:c>
      <x:c r="P299" s="26"/>
      <x:c r="Q299" s="13"/>
      <x:c r="R299" s="13"/>
      <x:c r="S299" s="13"/>
      <x:c r="T299" s="13"/>
    </x:row>
    <x:row r="300">
      <x:c r="A300" s="13" t="str">
        <x:v>Gabriel Magalhães</x:v>
      </x:c>
      <x:c r="B300" s="13" t="n">
        <x:v>2030</x:v>
      </x:c>
      <x:c r="C300" s="13" t="str">
        <x:v>T3</x:v>
      </x:c>
      <x:c r="D300" s="24" t="n">
        <x:v>47756</x:v>
      </x:c>
      <x:c r="E300" s="13" t="str">
        <x:v>Zagueiro</x:v>
      </x:c>
      <x:c r="F300" s="13" t="str">
        <x:v>FC Arsenal</x:v>
      </x:c>
      <x:c r="G300" s="16"/>
      <x:c r="H300" s="16"/>
      <x:c r="I300" s="16"/>
      <x:c r="J300" s="16"/>
      <x:c r="K300" s="16" t="str">
        <x:f>IF(COUNT(G300,I300)=0,"",AVERAGE(G300,I300))</x:f>
      </x:c>
      <x:c r="L300" s="16" t="str">
        <x:f>IF(COUNT(H300,J300)=0,"",AVERAGE(H300,J300))</x:f>
      </x:c>
      <x:c r="M300" s="16" t="str">
        <x:f>IF(OR(K300="",L300=""),"",L300-K300)</x:f>
      </x:c>
      <x:c r="N300" s="16" t="str">
        <x:f>IF(AND(A300=A299,ISNUMBER(K300),ISNUMBER(K299)),K300-K299,"")</x:f>
      </x:c>
      <x:c r="O300" s="13" t="str">
        <x:v>Sem informação</x:v>
      </x:c>
      <x:c r="P300" s="26"/>
      <x:c r="Q300" s="13"/>
      <x:c r="R300" s="13"/>
      <x:c r="S300" s="13"/>
      <x:c r="T300" s="13"/>
    </x:row>
    <x:row r="301">
      <x:c r="A301" s="13" t="str">
        <x:v>Gabriel Magalhães</x:v>
      </x:c>
      <x:c r="B301" s="13" t="n">
        <x:v>2030</x:v>
      </x:c>
      <x:c r="C301" s="13" t="str">
        <x:v>T4</x:v>
      </x:c>
      <x:c r="D301" s="24" t="n">
        <x:v>47848</x:v>
      </x:c>
      <x:c r="E301" s="13" t="str">
        <x:v>Zagueiro</x:v>
      </x:c>
      <x:c r="F301" s="13" t="str">
        <x:v>FC Arsenal</x:v>
      </x:c>
      <x:c r="G301" s="16"/>
      <x:c r="H301" s="16"/>
      <x:c r="I301" s="16"/>
      <x:c r="J301" s="16"/>
      <x:c r="K301" s="16" t="str">
        <x:f>IF(COUNT(G301,I301)=0,"",AVERAGE(G301,I301))</x:f>
      </x:c>
      <x:c r="L301" s="16" t="str">
        <x:f>IF(COUNT(H301,J301)=0,"",AVERAGE(H301,J301))</x:f>
      </x:c>
      <x:c r="M301" s="16" t="str">
        <x:f>IF(OR(K301="",L301=""),"",L301-K301)</x:f>
      </x:c>
      <x:c r="N301" s="16" t="str">
        <x:f>IF(AND(A301=A300,ISNUMBER(K301),ISNUMBER(K300)),K301-K300,"")</x:f>
      </x:c>
      <x:c r="O301" s="13" t="str">
        <x:v>Sem informação</x:v>
      </x:c>
      <x:c r="P301" s="26"/>
      <x:c r="Q301" s="13"/>
      <x:c r="R301" s="13"/>
      <x:c r="S301" s="13"/>
      <x:c r="T301" s="13"/>
    </x:row>
    <x:row r="302">
      <x:c r="A302" s="13" t="str">
        <x:v>Gabriel Martinelli</x:v>
      </x:c>
      <x:c r="B302" s="13" t="n">
        <x:v>2026</x:v>
      </x:c>
      <x:c r="C302" s="13" t="str">
        <x:v>T1</x:v>
      </x:c>
      <x:c r="D302" s="24" t="n">
        <x:v>46112</x:v>
      </x:c>
      <x:c r="E302" s="13" t="str">
        <x:v>Ponta-esquerda</x:v>
      </x:c>
      <x:c r="F302" s="13" t="str">
        <x:v>FC Arsenal</x:v>
      </x:c>
      <x:c r="G302" s="16"/>
      <x:c r="H302" s="16"/>
      <x:c r="I302" s="16"/>
      <x:c r="J302" s="16"/>
      <x:c r="K302" s="16" t="str">
        <x:f>IF(COUNT(G302,I302)=0,"",AVERAGE(G302,I302))</x:f>
      </x:c>
      <x:c r="L302" s="16" t="str">
        <x:f>IF(COUNT(H302,J302)=0,"",AVERAGE(H302,J302))</x:f>
      </x:c>
      <x:c r="M302" s="16" t="str">
        <x:f>IF(OR(K302="",L302=""),"",L302-K302)</x:f>
      </x:c>
      <x:c r="N302" s="16" t="str">
        <x:f>IF(AND(A302=A301,ISNUMBER(K302),ISNUMBER(K301)),K302-K301,"")</x:f>
      </x:c>
      <x:c r="O302" s="13" t="str">
        <x:v>Sem informação</x:v>
      </x:c>
      <x:c r="P302" s="26"/>
      <x:c r="Q302" s="13"/>
      <x:c r="R302" s="13"/>
      <x:c r="S302" s="13"/>
      <x:c r="T302" s="13"/>
    </x:row>
    <x:row r="303">
      <x:c r="A303" s="13" t="str">
        <x:v>Gabriel Martinelli</x:v>
      </x:c>
      <x:c r="B303" s="13" t="n">
        <x:v>2026</x:v>
      </x:c>
      <x:c r="C303" s="13" t="str">
        <x:v>T2</x:v>
      </x:c>
      <x:c r="D303" s="24" t="n">
        <x:v>46203</x:v>
      </x:c>
      <x:c r="E303" s="13" t="str">
        <x:v>Ponta-esquerda</x:v>
      </x:c>
      <x:c r="F303" s="13" t="str">
        <x:v>FC Arsenal</x:v>
      </x:c>
      <x:c r="G303" s="16"/>
      <x:c r="H303" s="16"/>
      <x:c r="I303" s="16"/>
      <x:c r="J303" s="16"/>
      <x:c r="K303" s="16" t="str">
        <x:f>IF(COUNT(G303,I303)=0,"",AVERAGE(G303,I303))</x:f>
      </x:c>
      <x:c r="L303" s="16" t="str">
        <x:f>IF(COUNT(H303,J303)=0,"",AVERAGE(H303,J303))</x:f>
      </x:c>
      <x:c r="M303" s="16" t="str">
        <x:f>IF(OR(K303="",L303=""),"",L303-K303)</x:f>
      </x:c>
      <x:c r="N303" s="16" t="str">
        <x:f>IF(AND(A303=A302,ISNUMBER(K303),ISNUMBER(K302)),K303-K302,"")</x:f>
      </x:c>
      <x:c r="O303" s="13" t="str">
        <x:v>Sem informação</x:v>
      </x:c>
      <x:c r="P303" s="26"/>
      <x:c r="Q303" s="13"/>
      <x:c r="R303" s="13"/>
      <x:c r="S303" s="13"/>
      <x:c r="T303" s="13"/>
    </x:row>
    <x:row r="304">
      <x:c r="A304" s="13" t="str">
        <x:v>Gabriel Martinelli</x:v>
      </x:c>
      <x:c r="B304" s="13" t="n">
        <x:v>2026</x:v>
      </x:c>
      <x:c r="C304" s="13" t="str">
        <x:v>T3</x:v>
      </x:c>
      <x:c r="D304" s="24" t="n">
        <x:v>46295</x:v>
      </x:c>
      <x:c r="E304" s="13" t="str">
        <x:v>Ponta-esquerda</x:v>
      </x:c>
      <x:c r="F304" s="13" t="str">
        <x:v>FC Arsenal</x:v>
      </x:c>
      <x:c r="G304" s="16"/>
      <x:c r="H304" s="16"/>
      <x:c r="I304" s="16"/>
      <x:c r="J304" s="16"/>
      <x:c r="K304" s="16" t="str">
        <x:f>IF(COUNT(G304,I304)=0,"",AVERAGE(G304,I304))</x:f>
      </x:c>
      <x:c r="L304" s="16" t="str">
        <x:f>IF(COUNT(H304,J304)=0,"",AVERAGE(H304,J304))</x:f>
      </x:c>
      <x:c r="M304" s="16" t="str">
        <x:f>IF(OR(K304="",L304=""),"",L304-K304)</x:f>
      </x:c>
      <x:c r="N304" s="16" t="str">
        <x:f>IF(AND(A304=A303,ISNUMBER(K304),ISNUMBER(K303)),K304-K303,"")</x:f>
      </x:c>
      <x:c r="O304" s="13" t="str">
        <x:v>Sem informação</x:v>
      </x:c>
      <x:c r="P304" s="26"/>
      <x:c r="Q304" s="13"/>
      <x:c r="R304" s="13"/>
      <x:c r="S304" s="13"/>
      <x:c r="T304" s="13"/>
    </x:row>
    <x:row r="305">
      <x:c r="A305" s="13" t="str">
        <x:v>Gabriel Martinelli</x:v>
      </x:c>
      <x:c r="B305" s="13" t="n">
        <x:v>2026</x:v>
      </x:c>
      <x:c r="C305" s="13" t="str">
        <x:v>T4</x:v>
      </x:c>
      <x:c r="D305" s="24" t="n">
        <x:v>46387</x:v>
      </x:c>
      <x:c r="E305" s="13" t="str">
        <x:v>Ponta-esquerda</x:v>
      </x:c>
      <x:c r="F305" s="13" t="str">
        <x:v>FC Arsenal</x:v>
      </x:c>
      <x:c r="G305" s="16"/>
      <x:c r="H305" s="16"/>
      <x:c r="I305" s="16"/>
      <x:c r="J305" s="16"/>
      <x:c r="K305" s="16" t="str">
        <x:f>IF(COUNT(G305,I305)=0,"",AVERAGE(G305,I305))</x:f>
      </x:c>
      <x:c r="L305" s="16" t="str">
        <x:f>IF(COUNT(H305,J305)=0,"",AVERAGE(H305,J305))</x:f>
      </x:c>
      <x:c r="M305" s="16" t="str">
        <x:f>IF(OR(K305="",L305=""),"",L305-K305)</x:f>
      </x:c>
      <x:c r="N305" s="16" t="str">
        <x:f>IF(AND(A305=A304,ISNUMBER(K305),ISNUMBER(K304)),K305-K304,"")</x:f>
      </x:c>
      <x:c r="O305" s="13" t="str">
        <x:v>Sem informação</x:v>
      </x:c>
      <x:c r="P305" s="26"/>
      <x:c r="Q305" s="13"/>
      <x:c r="R305" s="13"/>
      <x:c r="S305" s="13"/>
      <x:c r="T305" s="13"/>
    </x:row>
    <x:row r="306">
      <x:c r="A306" s="13" t="str">
        <x:v>Gabriel Martinelli</x:v>
      </x:c>
      <x:c r="B306" s="13" t="n">
        <x:v>2027</x:v>
      </x:c>
      <x:c r="C306" s="13" t="str">
        <x:v>T1</x:v>
      </x:c>
      <x:c r="D306" s="24" t="n">
        <x:v>46477</x:v>
      </x:c>
      <x:c r="E306" s="13" t="str">
        <x:v>Ponta-esquerda</x:v>
      </x:c>
      <x:c r="F306" s="13" t="str">
        <x:v>FC Arsenal</x:v>
      </x:c>
      <x:c r="G306" s="16"/>
      <x:c r="H306" s="16"/>
      <x:c r="I306" s="16"/>
      <x:c r="J306" s="16"/>
      <x:c r="K306" s="16" t="str">
        <x:f>IF(COUNT(G306,I306)=0,"",AVERAGE(G306,I306))</x:f>
      </x:c>
      <x:c r="L306" s="16" t="str">
        <x:f>IF(COUNT(H306,J306)=0,"",AVERAGE(H306,J306))</x:f>
      </x:c>
      <x:c r="M306" s="16" t="str">
        <x:f>IF(OR(K306="",L306=""),"",L306-K306)</x:f>
      </x:c>
      <x:c r="N306" s="16" t="str">
        <x:f>IF(AND(A306=A305,ISNUMBER(K306),ISNUMBER(K305)),K306-K305,"")</x:f>
      </x:c>
      <x:c r="O306" s="13" t="str">
        <x:v>Sem informação</x:v>
      </x:c>
      <x:c r="P306" s="26"/>
      <x:c r="Q306" s="13"/>
      <x:c r="R306" s="13"/>
      <x:c r="S306" s="13"/>
      <x:c r="T306" s="13"/>
    </x:row>
    <x:row r="307">
      <x:c r="A307" s="13" t="str">
        <x:v>Gabriel Martinelli</x:v>
      </x:c>
      <x:c r="B307" s="13" t="n">
        <x:v>2027</x:v>
      </x:c>
      <x:c r="C307" s="13" t="str">
        <x:v>T2</x:v>
      </x:c>
      <x:c r="D307" s="24" t="n">
        <x:v>46568</x:v>
      </x:c>
      <x:c r="E307" s="13" t="str">
        <x:v>Ponta-esquerda</x:v>
      </x:c>
      <x:c r="F307" s="13" t="str">
        <x:v>FC Arsenal</x:v>
      </x:c>
      <x:c r="G307" s="16"/>
      <x:c r="H307" s="16"/>
      <x:c r="I307" s="16"/>
      <x:c r="J307" s="16"/>
      <x:c r="K307" s="16" t="str">
        <x:f>IF(COUNT(G307,I307)=0,"",AVERAGE(G307,I307))</x:f>
      </x:c>
      <x:c r="L307" s="16" t="str">
        <x:f>IF(COUNT(H307,J307)=0,"",AVERAGE(H307,J307))</x:f>
      </x:c>
      <x:c r="M307" s="16" t="str">
        <x:f>IF(OR(K307="",L307=""),"",L307-K307)</x:f>
      </x:c>
      <x:c r="N307" s="16" t="str">
        <x:f>IF(AND(A307=A306,ISNUMBER(K307),ISNUMBER(K306)),K307-K306,"")</x:f>
      </x:c>
      <x:c r="O307" s="13" t="str">
        <x:v>Sem informação</x:v>
      </x:c>
      <x:c r="P307" s="26"/>
      <x:c r="Q307" s="13"/>
      <x:c r="R307" s="13"/>
      <x:c r="S307" s="13"/>
      <x:c r="T307" s="13"/>
    </x:row>
    <x:row r="308">
      <x:c r="A308" s="13" t="str">
        <x:v>Gabriel Martinelli</x:v>
      </x:c>
      <x:c r="B308" s="13" t="n">
        <x:v>2027</x:v>
      </x:c>
      <x:c r="C308" s="13" t="str">
        <x:v>T3</x:v>
      </x:c>
      <x:c r="D308" s="24" t="n">
        <x:v>46660</x:v>
      </x:c>
      <x:c r="E308" s="13" t="str">
        <x:v>Ponta-esquerda</x:v>
      </x:c>
      <x:c r="F308" s="13" t="str">
        <x:v>FC Arsenal</x:v>
      </x:c>
      <x:c r="G308" s="16"/>
      <x:c r="H308" s="16"/>
      <x:c r="I308" s="16"/>
      <x:c r="J308" s="16"/>
      <x:c r="K308" s="16" t="str">
        <x:f>IF(COUNT(G308,I308)=0,"",AVERAGE(G308,I308))</x:f>
      </x:c>
      <x:c r="L308" s="16" t="str">
        <x:f>IF(COUNT(H308,J308)=0,"",AVERAGE(H308,J308))</x:f>
      </x:c>
      <x:c r="M308" s="16" t="str">
        <x:f>IF(OR(K308="",L308=""),"",L308-K308)</x:f>
      </x:c>
      <x:c r="N308" s="16" t="str">
        <x:f>IF(AND(A308=A307,ISNUMBER(K308),ISNUMBER(K307)),K308-K307,"")</x:f>
      </x:c>
      <x:c r="O308" s="13" t="str">
        <x:v>Sem informação</x:v>
      </x:c>
      <x:c r="P308" s="26"/>
      <x:c r="Q308" s="13"/>
      <x:c r="R308" s="13"/>
      <x:c r="S308" s="13"/>
      <x:c r="T308" s="13"/>
    </x:row>
    <x:row r="309">
      <x:c r="A309" s="13" t="str">
        <x:v>Gabriel Martinelli</x:v>
      </x:c>
      <x:c r="B309" s="13" t="n">
        <x:v>2027</x:v>
      </x:c>
      <x:c r="C309" s="13" t="str">
        <x:v>T4</x:v>
      </x:c>
      <x:c r="D309" s="24" t="n">
        <x:v>46752</x:v>
      </x:c>
      <x:c r="E309" s="13" t="str">
        <x:v>Ponta-esquerda</x:v>
      </x:c>
      <x:c r="F309" s="13" t="str">
        <x:v>FC Arsenal</x:v>
      </x:c>
      <x:c r="G309" s="16"/>
      <x:c r="H309" s="16"/>
      <x:c r="I309" s="16"/>
      <x:c r="J309" s="16"/>
      <x:c r="K309" s="16" t="str">
        <x:f>IF(COUNT(G309,I309)=0,"",AVERAGE(G309,I309))</x:f>
      </x:c>
      <x:c r="L309" s="16" t="str">
        <x:f>IF(COUNT(H309,J309)=0,"",AVERAGE(H309,J309))</x:f>
      </x:c>
      <x:c r="M309" s="16" t="str">
        <x:f>IF(OR(K309="",L309=""),"",L309-K309)</x:f>
      </x:c>
      <x:c r="N309" s="16" t="str">
        <x:f>IF(AND(A309=A308,ISNUMBER(K309),ISNUMBER(K308)),K309-K308,"")</x:f>
      </x:c>
      <x:c r="O309" s="13" t="str">
        <x:v>Sem informação</x:v>
      </x:c>
      <x:c r="P309" s="26"/>
      <x:c r="Q309" s="13"/>
      <x:c r="R309" s="13"/>
      <x:c r="S309" s="13"/>
      <x:c r="T309" s="13"/>
    </x:row>
    <x:row r="310">
      <x:c r="A310" s="13" t="str">
        <x:v>Gabriel Martinelli</x:v>
      </x:c>
      <x:c r="B310" s="13" t="n">
        <x:v>2028</x:v>
      </x:c>
      <x:c r="C310" s="13" t="str">
        <x:v>T1</x:v>
      </x:c>
      <x:c r="D310" s="24" t="n">
        <x:v>46843</x:v>
      </x:c>
      <x:c r="E310" s="13" t="str">
        <x:v>Ponta-esquerda</x:v>
      </x:c>
      <x:c r="F310" s="13" t="str">
        <x:v>FC Arsenal</x:v>
      </x:c>
      <x:c r="G310" s="16"/>
      <x:c r="H310" s="16"/>
      <x:c r="I310" s="16"/>
      <x:c r="J310" s="16"/>
      <x:c r="K310" s="16" t="str">
        <x:f>IF(COUNT(G310,I310)=0,"",AVERAGE(G310,I310))</x:f>
      </x:c>
      <x:c r="L310" s="16" t="str">
        <x:f>IF(COUNT(H310,J310)=0,"",AVERAGE(H310,J310))</x:f>
      </x:c>
      <x:c r="M310" s="16" t="str">
        <x:f>IF(OR(K310="",L310=""),"",L310-K310)</x:f>
      </x:c>
      <x:c r="N310" s="16" t="str">
        <x:f>IF(AND(A310=A309,ISNUMBER(K310),ISNUMBER(K309)),K310-K309,"")</x:f>
      </x:c>
      <x:c r="O310" s="13" t="str">
        <x:v>Sem informação</x:v>
      </x:c>
      <x:c r="P310" s="26"/>
      <x:c r="Q310" s="13"/>
      <x:c r="R310" s="13"/>
      <x:c r="S310" s="13"/>
      <x:c r="T310" s="13"/>
    </x:row>
    <x:row r="311">
      <x:c r="A311" s="13" t="str">
        <x:v>Gabriel Martinelli</x:v>
      </x:c>
      <x:c r="B311" s="13" t="n">
        <x:v>2028</x:v>
      </x:c>
      <x:c r="C311" s="13" t="str">
        <x:v>T2</x:v>
      </x:c>
      <x:c r="D311" s="24" t="n">
        <x:v>46934</x:v>
      </x:c>
      <x:c r="E311" s="13" t="str">
        <x:v>Ponta-esquerda</x:v>
      </x:c>
      <x:c r="F311" s="13" t="str">
        <x:v>FC Arsenal</x:v>
      </x:c>
      <x:c r="G311" s="16"/>
      <x:c r="H311" s="16"/>
      <x:c r="I311" s="16"/>
      <x:c r="J311" s="16"/>
      <x:c r="K311" s="16" t="str">
        <x:f>IF(COUNT(G311,I311)=0,"",AVERAGE(G311,I311))</x:f>
      </x:c>
      <x:c r="L311" s="16" t="str">
        <x:f>IF(COUNT(H311,J311)=0,"",AVERAGE(H311,J311))</x:f>
      </x:c>
      <x:c r="M311" s="16" t="str">
        <x:f>IF(OR(K311="",L311=""),"",L311-K311)</x:f>
      </x:c>
      <x:c r="N311" s="16" t="str">
        <x:f>IF(AND(A311=A310,ISNUMBER(K311),ISNUMBER(K310)),K311-K310,"")</x:f>
      </x:c>
      <x:c r="O311" s="13" t="str">
        <x:v>Sem informação</x:v>
      </x:c>
      <x:c r="P311" s="26"/>
      <x:c r="Q311" s="13"/>
      <x:c r="R311" s="13"/>
      <x:c r="S311" s="13"/>
      <x:c r="T311" s="13"/>
    </x:row>
    <x:row r="312">
      <x:c r="A312" s="13" t="str">
        <x:v>Gabriel Martinelli</x:v>
      </x:c>
      <x:c r="B312" s="13" t="n">
        <x:v>2028</x:v>
      </x:c>
      <x:c r="C312" s="13" t="str">
        <x:v>T3</x:v>
      </x:c>
      <x:c r="D312" s="24" t="n">
        <x:v>47026</x:v>
      </x:c>
      <x:c r="E312" s="13" t="str">
        <x:v>Ponta-esquerda</x:v>
      </x:c>
      <x:c r="F312" s="13" t="str">
        <x:v>FC Arsenal</x:v>
      </x:c>
      <x:c r="G312" s="16"/>
      <x:c r="H312" s="16"/>
      <x:c r="I312" s="16"/>
      <x:c r="J312" s="16"/>
      <x:c r="K312" s="16" t="str">
        <x:f>IF(COUNT(G312,I312)=0,"",AVERAGE(G312,I312))</x:f>
      </x:c>
      <x:c r="L312" s="16" t="str">
        <x:f>IF(COUNT(H312,J312)=0,"",AVERAGE(H312,J312))</x:f>
      </x:c>
      <x:c r="M312" s="16" t="str">
        <x:f>IF(OR(K312="",L312=""),"",L312-K312)</x:f>
      </x:c>
      <x:c r="N312" s="16" t="str">
        <x:f>IF(AND(A312=A311,ISNUMBER(K312),ISNUMBER(K311)),K312-K311,"")</x:f>
      </x:c>
      <x:c r="O312" s="13" t="str">
        <x:v>Sem informação</x:v>
      </x:c>
      <x:c r="P312" s="26"/>
      <x:c r="Q312" s="13"/>
      <x:c r="R312" s="13"/>
      <x:c r="S312" s="13"/>
      <x:c r="T312" s="13"/>
    </x:row>
    <x:row r="313">
      <x:c r="A313" s="13" t="str">
        <x:v>Gabriel Martinelli</x:v>
      </x:c>
      <x:c r="B313" s="13" t="n">
        <x:v>2028</x:v>
      </x:c>
      <x:c r="C313" s="13" t="str">
        <x:v>T4</x:v>
      </x:c>
      <x:c r="D313" s="24" t="n">
        <x:v>47118</x:v>
      </x:c>
      <x:c r="E313" s="13" t="str">
        <x:v>Ponta-esquerda</x:v>
      </x:c>
      <x:c r="F313" s="13" t="str">
        <x:v>FC Arsenal</x:v>
      </x:c>
      <x:c r="G313" s="16"/>
      <x:c r="H313" s="16"/>
      <x:c r="I313" s="16"/>
      <x:c r="J313" s="16"/>
      <x:c r="K313" s="16" t="str">
        <x:f>IF(COUNT(G313,I313)=0,"",AVERAGE(G313,I313))</x:f>
      </x:c>
      <x:c r="L313" s="16" t="str">
        <x:f>IF(COUNT(H313,J313)=0,"",AVERAGE(H313,J313))</x:f>
      </x:c>
      <x:c r="M313" s="16" t="str">
        <x:f>IF(OR(K313="",L313=""),"",L313-K313)</x:f>
      </x:c>
      <x:c r="N313" s="16" t="str">
        <x:f>IF(AND(A313=A312,ISNUMBER(K313),ISNUMBER(K312)),K313-K312,"")</x:f>
      </x:c>
      <x:c r="O313" s="13" t="str">
        <x:v>Sem informação</x:v>
      </x:c>
      <x:c r="P313" s="26"/>
      <x:c r="Q313" s="13"/>
      <x:c r="R313" s="13"/>
      <x:c r="S313" s="13"/>
      <x:c r="T313" s="13"/>
    </x:row>
    <x:row r="314">
      <x:c r="A314" s="13" t="str">
        <x:v>Gabriel Martinelli</x:v>
      </x:c>
      <x:c r="B314" s="13" t="n">
        <x:v>2029</x:v>
      </x:c>
      <x:c r="C314" s="13" t="str">
        <x:v>T1</x:v>
      </x:c>
      <x:c r="D314" s="24" t="n">
        <x:v>47208</x:v>
      </x:c>
      <x:c r="E314" s="13" t="str">
        <x:v>Ponta-esquerda</x:v>
      </x:c>
      <x:c r="F314" s="13" t="str">
        <x:v>FC Arsenal</x:v>
      </x:c>
      <x:c r="G314" s="16"/>
      <x:c r="H314" s="16"/>
      <x:c r="I314" s="16"/>
      <x:c r="J314" s="16"/>
      <x:c r="K314" s="16" t="str">
        <x:f>IF(COUNT(G314,I314)=0,"",AVERAGE(G314,I314))</x:f>
      </x:c>
      <x:c r="L314" s="16" t="str">
        <x:f>IF(COUNT(H314,J314)=0,"",AVERAGE(H314,J314))</x:f>
      </x:c>
      <x:c r="M314" s="16" t="str">
        <x:f>IF(OR(K314="",L314=""),"",L314-K314)</x:f>
      </x:c>
      <x:c r="N314" s="16" t="str">
        <x:f>IF(AND(A314=A313,ISNUMBER(K314),ISNUMBER(K313)),K314-K313,"")</x:f>
      </x:c>
      <x:c r="O314" s="13" t="str">
        <x:v>Sem informação</x:v>
      </x:c>
      <x:c r="P314" s="26"/>
      <x:c r="Q314" s="13"/>
      <x:c r="R314" s="13"/>
      <x:c r="S314" s="13"/>
      <x:c r="T314" s="13"/>
    </x:row>
    <x:row r="315">
      <x:c r="A315" s="13" t="str">
        <x:v>Gabriel Martinelli</x:v>
      </x:c>
      <x:c r="B315" s="13" t="n">
        <x:v>2029</x:v>
      </x:c>
      <x:c r="C315" s="13" t="str">
        <x:v>T2</x:v>
      </x:c>
      <x:c r="D315" s="24" t="n">
        <x:v>47299</x:v>
      </x:c>
      <x:c r="E315" s="13" t="str">
        <x:v>Ponta-esquerda</x:v>
      </x:c>
      <x:c r="F315" s="13" t="str">
        <x:v>FC Arsenal</x:v>
      </x:c>
      <x:c r="G315" s="16"/>
      <x:c r="H315" s="16"/>
      <x:c r="I315" s="16"/>
      <x:c r="J315" s="16"/>
      <x:c r="K315" s="16" t="str">
        <x:f>IF(COUNT(G315,I315)=0,"",AVERAGE(G315,I315))</x:f>
      </x:c>
      <x:c r="L315" s="16" t="str">
        <x:f>IF(COUNT(H315,J315)=0,"",AVERAGE(H315,J315))</x:f>
      </x:c>
      <x:c r="M315" s="16" t="str">
        <x:f>IF(OR(K315="",L315=""),"",L315-K315)</x:f>
      </x:c>
      <x:c r="N315" s="16" t="str">
        <x:f>IF(AND(A315=A314,ISNUMBER(K315),ISNUMBER(K314)),K315-K314,"")</x:f>
      </x:c>
      <x:c r="O315" s="13" t="str">
        <x:v>Sem informação</x:v>
      </x:c>
      <x:c r="P315" s="26"/>
      <x:c r="Q315" s="13"/>
      <x:c r="R315" s="13"/>
      <x:c r="S315" s="13"/>
      <x:c r="T315" s="13"/>
    </x:row>
    <x:row r="316">
      <x:c r="A316" s="13" t="str">
        <x:v>Gabriel Martinelli</x:v>
      </x:c>
      <x:c r="B316" s="13" t="n">
        <x:v>2029</x:v>
      </x:c>
      <x:c r="C316" s="13" t="str">
        <x:v>T3</x:v>
      </x:c>
      <x:c r="D316" s="24" t="n">
        <x:v>47391</x:v>
      </x:c>
      <x:c r="E316" s="13" t="str">
        <x:v>Ponta-esquerda</x:v>
      </x:c>
      <x:c r="F316" s="13" t="str">
        <x:v>FC Arsenal</x:v>
      </x:c>
      <x:c r="G316" s="16"/>
      <x:c r="H316" s="16"/>
      <x:c r="I316" s="16"/>
      <x:c r="J316" s="16"/>
      <x:c r="K316" s="16" t="str">
        <x:f>IF(COUNT(G316,I316)=0,"",AVERAGE(G316,I316))</x:f>
      </x:c>
      <x:c r="L316" s="16" t="str">
        <x:f>IF(COUNT(H316,J316)=0,"",AVERAGE(H316,J316))</x:f>
      </x:c>
      <x:c r="M316" s="16" t="str">
        <x:f>IF(OR(K316="",L316=""),"",L316-K316)</x:f>
      </x:c>
      <x:c r="N316" s="16" t="str">
        <x:f>IF(AND(A316=A315,ISNUMBER(K316),ISNUMBER(K315)),K316-K315,"")</x:f>
      </x:c>
      <x:c r="O316" s="13" t="str">
        <x:v>Sem informação</x:v>
      </x:c>
      <x:c r="P316" s="26"/>
      <x:c r="Q316" s="13"/>
      <x:c r="R316" s="13"/>
      <x:c r="S316" s="13"/>
      <x:c r="T316" s="13"/>
    </x:row>
    <x:row r="317">
      <x:c r="A317" s="13" t="str">
        <x:v>Gabriel Martinelli</x:v>
      </x:c>
      <x:c r="B317" s="13" t="n">
        <x:v>2029</x:v>
      </x:c>
      <x:c r="C317" s="13" t="str">
        <x:v>T4</x:v>
      </x:c>
      <x:c r="D317" s="24" t="n">
        <x:v>47483</x:v>
      </x:c>
      <x:c r="E317" s="13" t="str">
        <x:v>Ponta-esquerda</x:v>
      </x:c>
      <x:c r="F317" s="13" t="str">
        <x:v>FC Arsenal</x:v>
      </x:c>
      <x:c r="G317" s="16"/>
      <x:c r="H317" s="16"/>
      <x:c r="I317" s="16"/>
      <x:c r="J317" s="16"/>
      <x:c r="K317" s="16" t="str">
        <x:f>IF(COUNT(G317,I317)=0,"",AVERAGE(G317,I317))</x:f>
      </x:c>
      <x:c r="L317" s="16" t="str">
        <x:f>IF(COUNT(H317,J317)=0,"",AVERAGE(H317,J317))</x:f>
      </x:c>
      <x:c r="M317" s="16" t="str">
        <x:f>IF(OR(K317="",L317=""),"",L317-K317)</x:f>
      </x:c>
      <x:c r="N317" s="16" t="str">
        <x:f>IF(AND(A317=A316,ISNUMBER(K317),ISNUMBER(K316)),K317-K316,"")</x:f>
      </x:c>
      <x:c r="O317" s="13" t="str">
        <x:v>Sem informação</x:v>
      </x:c>
      <x:c r="P317" s="26"/>
      <x:c r="Q317" s="13"/>
      <x:c r="R317" s="13"/>
      <x:c r="S317" s="13"/>
      <x:c r="T317" s="13"/>
    </x:row>
    <x:row r="318">
      <x:c r="A318" s="13" t="str">
        <x:v>Gabriel Martinelli</x:v>
      </x:c>
      <x:c r="B318" s="13" t="n">
        <x:v>2030</x:v>
      </x:c>
      <x:c r="C318" s="13" t="str">
        <x:v>T1</x:v>
      </x:c>
      <x:c r="D318" s="24" t="n">
        <x:v>47573</x:v>
      </x:c>
      <x:c r="E318" s="13" t="str">
        <x:v>Ponta-esquerda</x:v>
      </x:c>
      <x:c r="F318" s="13" t="str">
        <x:v>FC Arsenal</x:v>
      </x:c>
      <x:c r="G318" s="16"/>
      <x:c r="H318" s="16"/>
      <x:c r="I318" s="16"/>
      <x:c r="J318" s="16"/>
      <x:c r="K318" s="16" t="str">
        <x:f>IF(COUNT(G318,I318)=0,"",AVERAGE(G318,I318))</x:f>
      </x:c>
      <x:c r="L318" s="16" t="str">
        <x:f>IF(COUNT(H318,J318)=0,"",AVERAGE(H318,J318))</x:f>
      </x:c>
      <x:c r="M318" s="16" t="str">
        <x:f>IF(OR(K318="",L318=""),"",L318-K318)</x:f>
      </x:c>
      <x:c r="N318" s="16" t="str">
        <x:f>IF(AND(A318=A317,ISNUMBER(K318),ISNUMBER(K317)),K318-K317,"")</x:f>
      </x:c>
      <x:c r="O318" s="13" t="str">
        <x:v>Sem informação</x:v>
      </x:c>
      <x:c r="P318" s="26"/>
      <x:c r="Q318" s="13"/>
      <x:c r="R318" s="13"/>
      <x:c r="S318" s="13"/>
      <x:c r="T318" s="13"/>
    </x:row>
    <x:row r="319">
      <x:c r="A319" s="13" t="str">
        <x:v>Gabriel Martinelli</x:v>
      </x:c>
      <x:c r="B319" s="13" t="n">
        <x:v>2030</x:v>
      </x:c>
      <x:c r="C319" s="13" t="str">
        <x:v>T2</x:v>
      </x:c>
      <x:c r="D319" s="24" t="n">
        <x:v>47664</x:v>
      </x:c>
      <x:c r="E319" s="13" t="str">
        <x:v>Ponta-esquerda</x:v>
      </x:c>
      <x:c r="F319" s="13" t="str">
        <x:v>FC Arsenal</x:v>
      </x:c>
      <x:c r="G319" s="16"/>
      <x:c r="H319" s="16"/>
      <x:c r="I319" s="16"/>
      <x:c r="J319" s="16"/>
      <x:c r="K319" s="16" t="str">
        <x:f>IF(COUNT(G319,I319)=0,"",AVERAGE(G319,I319))</x:f>
      </x:c>
      <x:c r="L319" s="16" t="str">
        <x:f>IF(COUNT(H319,J319)=0,"",AVERAGE(H319,J319))</x:f>
      </x:c>
      <x:c r="M319" s="16" t="str">
        <x:f>IF(OR(K319="",L319=""),"",L319-K319)</x:f>
      </x:c>
      <x:c r="N319" s="16" t="str">
        <x:f>IF(AND(A319=A318,ISNUMBER(K319),ISNUMBER(K318)),K319-K318,"")</x:f>
      </x:c>
      <x:c r="O319" s="13" t="str">
        <x:v>Sem informação</x:v>
      </x:c>
      <x:c r="P319" s="26"/>
      <x:c r="Q319" s="13"/>
      <x:c r="R319" s="13"/>
      <x:c r="S319" s="13"/>
      <x:c r="T319" s="13"/>
    </x:row>
    <x:row r="320">
      <x:c r="A320" s="13" t="str">
        <x:v>Gabriel Martinelli</x:v>
      </x:c>
      <x:c r="B320" s="13" t="n">
        <x:v>2030</x:v>
      </x:c>
      <x:c r="C320" s="13" t="str">
        <x:v>T3</x:v>
      </x:c>
      <x:c r="D320" s="24" t="n">
        <x:v>47756</x:v>
      </x:c>
      <x:c r="E320" s="13" t="str">
        <x:v>Ponta-esquerda</x:v>
      </x:c>
      <x:c r="F320" s="13" t="str">
        <x:v>FC Arsenal</x:v>
      </x:c>
      <x:c r="G320" s="16"/>
      <x:c r="H320" s="16"/>
      <x:c r="I320" s="16"/>
      <x:c r="J320" s="16"/>
      <x:c r="K320" s="16" t="str">
        <x:f>IF(COUNT(G320,I320)=0,"",AVERAGE(G320,I320))</x:f>
      </x:c>
      <x:c r="L320" s="16" t="str">
        <x:f>IF(COUNT(H320,J320)=0,"",AVERAGE(H320,J320))</x:f>
      </x:c>
      <x:c r="M320" s="16" t="str">
        <x:f>IF(OR(K320="",L320=""),"",L320-K320)</x:f>
      </x:c>
      <x:c r="N320" s="16" t="str">
        <x:f>IF(AND(A320=A319,ISNUMBER(K320),ISNUMBER(K319)),K320-K319,"")</x:f>
      </x:c>
      <x:c r="O320" s="13" t="str">
        <x:v>Sem informação</x:v>
      </x:c>
      <x:c r="P320" s="26"/>
      <x:c r="Q320" s="13"/>
      <x:c r="R320" s="13"/>
      <x:c r="S320" s="13"/>
      <x:c r="T320" s="13"/>
    </x:row>
    <x:row r="321">
      <x:c r="A321" s="13" t="str">
        <x:v>Gabriel Martinelli</x:v>
      </x:c>
      <x:c r="B321" s="13" t="n">
        <x:v>2030</x:v>
      </x:c>
      <x:c r="C321" s="13" t="str">
        <x:v>T4</x:v>
      </x:c>
      <x:c r="D321" s="24" t="n">
        <x:v>47848</x:v>
      </x:c>
      <x:c r="E321" s="13" t="str">
        <x:v>Ponta-esquerda</x:v>
      </x:c>
      <x:c r="F321" s="13" t="str">
        <x:v>FC Arsenal</x:v>
      </x:c>
      <x:c r="G321" s="16"/>
      <x:c r="H321" s="16"/>
      <x:c r="I321" s="16"/>
      <x:c r="J321" s="16"/>
      <x:c r="K321" s="16" t="str">
        <x:f>IF(COUNT(G321,I321)=0,"",AVERAGE(G321,I321))</x:f>
      </x:c>
      <x:c r="L321" s="16" t="str">
        <x:f>IF(COUNT(H321,J321)=0,"",AVERAGE(H321,J321))</x:f>
      </x:c>
      <x:c r="M321" s="16" t="str">
        <x:f>IF(OR(K321="",L321=""),"",L321-K321)</x:f>
      </x:c>
      <x:c r="N321" s="16" t="str">
        <x:f>IF(AND(A321=A320,ISNUMBER(K321),ISNUMBER(K320)),K321-K320,"")</x:f>
      </x:c>
      <x:c r="O321" s="13" t="str">
        <x:v>Sem informação</x:v>
      </x:c>
      <x:c r="P321" s="26"/>
      <x:c r="Q321" s="13"/>
      <x:c r="R321" s="13"/>
      <x:c r="S321" s="13"/>
      <x:c r="T321" s="13"/>
    </x:row>
    <x:row r="322">
      <x:c r="A322" s="13" t="str">
        <x:v>Gabriel Mec</x:v>
      </x:c>
      <x:c r="B322" s="13" t="n">
        <x:v>2026</x:v>
      </x:c>
      <x:c r="C322" s="13" t="str">
        <x:v>T1</x:v>
      </x:c>
      <x:c r="D322" s="24" t="n">
        <x:v>46112</x:v>
      </x:c>
      <x:c r="E322" s="13" t="str">
        <x:v>Meia-armador</x:v>
      </x:c>
      <x:c r="F322" s="13" t="str">
        <x:v>Grêmio</x:v>
      </x:c>
      <x:c r="G322" s="16"/>
      <x:c r="H322" s="16"/>
      <x:c r="I322" s="16"/>
      <x:c r="J322" s="16"/>
      <x:c r="K322" s="16" t="str">
        <x:f>IF(COUNT(G322,I322)=0,"",AVERAGE(G322,I322))</x:f>
      </x:c>
      <x:c r="L322" s="16" t="str">
        <x:f>IF(COUNT(H322,J322)=0,"",AVERAGE(H322,J322))</x:f>
      </x:c>
      <x:c r="M322" s="16" t="str">
        <x:f>IF(OR(K322="",L322=""),"",L322-K322)</x:f>
      </x:c>
      <x:c r="N322" s="16" t="str">
        <x:f>IF(AND(A322=A321,ISNUMBER(K322),ISNUMBER(K321)),K322-K321,"")</x:f>
      </x:c>
      <x:c r="O322" s="13" t="str">
        <x:v>Sem informação</x:v>
      </x:c>
      <x:c r="P322" s="26"/>
      <x:c r="Q322" s="13"/>
      <x:c r="R322" s="13"/>
      <x:c r="S322" s="13"/>
      <x:c r="T322" s="13"/>
    </x:row>
    <x:row r="323">
      <x:c r="A323" s="13" t="str">
        <x:v>Gabriel Mec</x:v>
      </x:c>
      <x:c r="B323" s="13" t="n">
        <x:v>2026</x:v>
      </x:c>
      <x:c r="C323" s="13" t="str">
        <x:v>T2</x:v>
      </x:c>
      <x:c r="D323" s="24" t="n">
        <x:v>46203</x:v>
      </x:c>
      <x:c r="E323" s="13" t="str">
        <x:v>Meia-armador</x:v>
      </x:c>
      <x:c r="F323" s="13" t="str">
        <x:v>Grêmio</x:v>
      </x:c>
      <x:c r="G323" s="16"/>
      <x:c r="H323" s="16"/>
      <x:c r="I323" s="16"/>
      <x:c r="J323" s="16"/>
      <x:c r="K323" s="16" t="str">
        <x:f>IF(COUNT(G323,I323)=0,"",AVERAGE(G323,I323))</x:f>
      </x:c>
      <x:c r="L323" s="16" t="str">
        <x:f>IF(COUNT(H323,J323)=0,"",AVERAGE(H323,J323))</x:f>
      </x:c>
      <x:c r="M323" s="16" t="str">
        <x:f>IF(OR(K323="",L323=""),"",L323-K323)</x:f>
      </x:c>
      <x:c r="N323" s="16" t="str">
        <x:f>IF(AND(A323=A322,ISNUMBER(K323),ISNUMBER(K322)),K323-K322,"")</x:f>
      </x:c>
      <x:c r="O323" s="13" t="str">
        <x:v>Sem informação</x:v>
      </x:c>
      <x:c r="P323" s="26"/>
      <x:c r="Q323" s="13"/>
      <x:c r="R323" s="13"/>
      <x:c r="S323" s="13"/>
      <x:c r="T323" s="13"/>
    </x:row>
    <x:row r="324">
      <x:c r="A324" s="13" t="str">
        <x:v>Gabriel Mec</x:v>
      </x:c>
      <x:c r="B324" s="13" t="n">
        <x:v>2026</x:v>
      </x:c>
      <x:c r="C324" s="13" t="str">
        <x:v>T3</x:v>
      </x:c>
      <x:c r="D324" s="24" t="n">
        <x:v>46295</x:v>
      </x:c>
      <x:c r="E324" s="13" t="str">
        <x:v>Meia-armador</x:v>
      </x:c>
      <x:c r="F324" s="13" t="str">
        <x:v>Grêmio</x:v>
      </x:c>
      <x:c r="G324" s="16"/>
      <x:c r="H324" s="16"/>
      <x:c r="I324" s="16"/>
      <x:c r="J324" s="16"/>
      <x:c r="K324" s="16" t="str">
        <x:f>IF(COUNT(G324,I324)=0,"",AVERAGE(G324,I324))</x:f>
      </x:c>
      <x:c r="L324" s="16" t="str">
        <x:f>IF(COUNT(H324,J324)=0,"",AVERAGE(H324,J324))</x:f>
      </x:c>
      <x:c r="M324" s="16" t="str">
        <x:f>IF(OR(K324="",L324=""),"",L324-K324)</x:f>
      </x:c>
      <x:c r="N324" s="16" t="str">
        <x:f>IF(AND(A324=A323,ISNUMBER(K324),ISNUMBER(K323)),K324-K323,"")</x:f>
      </x:c>
      <x:c r="O324" s="13" t="str">
        <x:v>Sem informação</x:v>
      </x:c>
      <x:c r="P324" s="26"/>
      <x:c r="Q324" s="13"/>
      <x:c r="R324" s="13"/>
      <x:c r="S324" s="13"/>
      <x:c r="T324" s="13"/>
    </x:row>
    <x:row r="325">
      <x:c r="A325" s="13" t="str">
        <x:v>Gabriel Mec</x:v>
      </x:c>
      <x:c r="B325" s="13" t="n">
        <x:v>2026</x:v>
      </x:c>
      <x:c r="C325" s="13" t="str">
        <x:v>T4</x:v>
      </x:c>
      <x:c r="D325" s="24" t="n">
        <x:v>46387</x:v>
      </x:c>
      <x:c r="E325" s="13" t="str">
        <x:v>Meia-armador</x:v>
      </x:c>
      <x:c r="F325" s="13" t="str">
        <x:v>Grêmio</x:v>
      </x:c>
      <x:c r="G325" s="16"/>
      <x:c r="H325" s="16"/>
      <x:c r="I325" s="16"/>
      <x:c r="J325" s="16"/>
      <x:c r="K325" s="16" t="str">
        <x:f>IF(COUNT(G325,I325)=0,"",AVERAGE(G325,I325))</x:f>
      </x:c>
      <x:c r="L325" s="16" t="str">
        <x:f>IF(COUNT(H325,J325)=0,"",AVERAGE(H325,J325))</x:f>
      </x:c>
      <x:c r="M325" s="16" t="str">
        <x:f>IF(OR(K325="",L325=""),"",L325-K325)</x:f>
      </x:c>
      <x:c r="N325" s="16" t="str">
        <x:f>IF(AND(A325=A324,ISNUMBER(K325),ISNUMBER(K324)),K325-K324,"")</x:f>
      </x:c>
      <x:c r="O325" s="13" t="str">
        <x:v>Sem informação</x:v>
      </x:c>
      <x:c r="P325" s="26"/>
      <x:c r="Q325" s="13"/>
      <x:c r="R325" s="13"/>
      <x:c r="S325" s="13"/>
      <x:c r="T325" s="13"/>
    </x:row>
    <x:row r="326">
      <x:c r="A326" s="13" t="str">
        <x:v>Gabriel Mec</x:v>
      </x:c>
      <x:c r="B326" s="13" t="n">
        <x:v>2027</x:v>
      </x:c>
      <x:c r="C326" s="13" t="str">
        <x:v>T1</x:v>
      </x:c>
      <x:c r="D326" s="24" t="n">
        <x:v>46477</x:v>
      </x:c>
      <x:c r="E326" s="13" t="str">
        <x:v>Meia-armador</x:v>
      </x:c>
      <x:c r="F326" s="13" t="str">
        <x:v>Grêmio</x:v>
      </x:c>
      <x:c r="G326" s="16"/>
      <x:c r="H326" s="16"/>
      <x:c r="I326" s="16"/>
      <x:c r="J326" s="16"/>
      <x:c r="K326" s="16" t="str">
        <x:f>IF(COUNT(G326,I326)=0,"",AVERAGE(G326,I326))</x:f>
      </x:c>
      <x:c r="L326" s="16" t="str">
        <x:f>IF(COUNT(H326,J326)=0,"",AVERAGE(H326,J326))</x:f>
      </x:c>
      <x:c r="M326" s="16" t="str">
        <x:f>IF(OR(K326="",L326=""),"",L326-K326)</x:f>
      </x:c>
      <x:c r="N326" s="16" t="str">
        <x:f>IF(AND(A326=A325,ISNUMBER(K326),ISNUMBER(K325)),K326-K325,"")</x:f>
      </x:c>
      <x:c r="O326" s="13" t="str">
        <x:v>Sem informação</x:v>
      </x:c>
      <x:c r="P326" s="26"/>
      <x:c r="Q326" s="13"/>
      <x:c r="R326" s="13"/>
      <x:c r="S326" s="13"/>
      <x:c r="T326" s="13"/>
    </x:row>
    <x:row r="327">
      <x:c r="A327" s="13" t="str">
        <x:v>Gabriel Mec</x:v>
      </x:c>
      <x:c r="B327" s="13" t="n">
        <x:v>2027</x:v>
      </x:c>
      <x:c r="C327" s="13" t="str">
        <x:v>T2</x:v>
      </x:c>
      <x:c r="D327" s="24" t="n">
        <x:v>46568</x:v>
      </x:c>
      <x:c r="E327" s="13" t="str">
        <x:v>Meia-armador</x:v>
      </x:c>
      <x:c r="F327" s="13" t="str">
        <x:v>Grêmio</x:v>
      </x:c>
      <x:c r="G327" s="16"/>
      <x:c r="H327" s="16"/>
      <x:c r="I327" s="16"/>
      <x:c r="J327" s="16"/>
      <x:c r="K327" s="16" t="str">
        <x:f>IF(COUNT(G327,I327)=0,"",AVERAGE(G327,I327))</x:f>
      </x:c>
      <x:c r="L327" s="16" t="str">
        <x:f>IF(COUNT(H327,J327)=0,"",AVERAGE(H327,J327))</x:f>
      </x:c>
      <x:c r="M327" s="16" t="str">
        <x:f>IF(OR(K327="",L327=""),"",L327-K327)</x:f>
      </x:c>
      <x:c r="N327" s="16" t="str">
        <x:f>IF(AND(A327=A326,ISNUMBER(K327),ISNUMBER(K326)),K327-K326,"")</x:f>
      </x:c>
      <x:c r="O327" s="13" t="str">
        <x:v>Sem informação</x:v>
      </x:c>
      <x:c r="P327" s="26"/>
      <x:c r="Q327" s="13"/>
      <x:c r="R327" s="13"/>
      <x:c r="S327" s="13"/>
      <x:c r="T327" s="13"/>
    </x:row>
    <x:row r="328">
      <x:c r="A328" s="13" t="str">
        <x:v>Gabriel Mec</x:v>
      </x:c>
      <x:c r="B328" s="13" t="n">
        <x:v>2027</x:v>
      </x:c>
      <x:c r="C328" s="13" t="str">
        <x:v>T3</x:v>
      </x:c>
      <x:c r="D328" s="24" t="n">
        <x:v>46660</x:v>
      </x:c>
      <x:c r="E328" s="13" t="str">
        <x:v>Meia-armador</x:v>
      </x:c>
      <x:c r="F328" s="13" t="str">
        <x:v>Grêmio</x:v>
      </x:c>
      <x:c r="G328" s="16"/>
      <x:c r="H328" s="16"/>
      <x:c r="I328" s="16"/>
      <x:c r="J328" s="16"/>
      <x:c r="K328" s="16" t="str">
        <x:f>IF(COUNT(G328,I328)=0,"",AVERAGE(G328,I328))</x:f>
      </x:c>
      <x:c r="L328" s="16" t="str">
        <x:f>IF(COUNT(H328,J328)=0,"",AVERAGE(H328,J328))</x:f>
      </x:c>
      <x:c r="M328" s="16" t="str">
        <x:f>IF(OR(K328="",L328=""),"",L328-K328)</x:f>
      </x:c>
      <x:c r="N328" s="16" t="str">
        <x:f>IF(AND(A328=A327,ISNUMBER(K328),ISNUMBER(K327)),K328-K327,"")</x:f>
      </x:c>
      <x:c r="O328" s="13" t="str">
        <x:v>Sem informação</x:v>
      </x:c>
      <x:c r="P328" s="26"/>
      <x:c r="Q328" s="13"/>
      <x:c r="R328" s="13"/>
      <x:c r="S328" s="13"/>
      <x:c r="T328" s="13"/>
    </x:row>
    <x:row r="329">
      <x:c r="A329" s="13" t="str">
        <x:v>Gabriel Mec</x:v>
      </x:c>
      <x:c r="B329" s="13" t="n">
        <x:v>2027</x:v>
      </x:c>
      <x:c r="C329" s="13" t="str">
        <x:v>T4</x:v>
      </x:c>
      <x:c r="D329" s="24" t="n">
        <x:v>46752</x:v>
      </x:c>
      <x:c r="E329" s="13" t="str">
        <x:v>Meia-armador</x:v>
      </x:c>
      <x:c r="F329" s="13" t="str">
        <x:v>Grêmio</x:v>
      </x:c>
      <x:c r="G329" s="16"/>
      <x:c r="H329" s="16"/>
      <x:c r="I329" s="16"/>
      <x:c r="J329" s="16"/>
      <x:c r="K329" s="16" t="str">
        <x:f>IF(COUNT(G329,I329)=0,"",AVERAGE(G329,I329))</x:f>
      </x:c>
      <x:c r="L329" s="16" t="str">
        <x:f>IF(COUNT(H329,J329)=0,"",AVERAGE(H329,J329))</x:f>
      </x:c>
      <x:c r="M329" s="16" t="str">
        <x:f>IF(OR(K329="",L329=""),"",L329-K329)</x:f>
      </x:c>
      <x:c r="N329" s="16" t="str">
        <x:f>IF(AND(A329=A328,ISNUMBER(K329),ISNUMBER(K328)),K329-K328,"")</x:f>
      </x:c>
      <x:c r="O329" s="13" t="str">
        <x:v>Sem informação</x:v>
      </x:c>
      <x:c r="P329" s="26"/>
      <x:c r="Q329" s="13"/>
      <x:c r="R329" s="13"/>
      <x:c r="S329" s="13"/>
      <x:c r="T329" s="13"/>
    </x:row>
    <x:row r="330">
      <x:c r="A330" s="13" t="str">
        <x:v>Gabriel Mec</x:v>
      </x:c>
      <x:c r="B330" s="13" t="n">
        <x:v>2028</x:v>
      </x:c>
      <x:c r="C330" s="13" t="str">
        <x:v>T1</x:v>
      </x:c>
      <x:c r="D330" s="24" t="n">
        <x:v>46843</x:v>
      </x:c>
      <x:c r="E330" s="13" t="str">
        <x:v>Meia-armador</x:v>
      </x:c>
      <x:c r="F330" s="13" t="str">
        <x:v>Grêmio</x:v>
      </x:c>
      <x:c r="G330" s="16"/>
      <x:c r="H330" s="16"/>
      <x:c r="I330" s="16"/>
      <x:c r="J330" s="16"/>
      <x:c r="K330" s="16" t="str">
        <x:f>IF(COUNT(G330,I330)=0,"",AVERAGE(G330,I330))</x:f>
      </x:c>
      <x:c r="L330" s="16" t="str">
        <x:f>IF(COUNT(H330,J330)=0,"",AVERAGE(H330,J330))</x:f>
      </x:c>
      <x:c r="M330" s="16" t="str">
        <x:f>IF(OR(K330="",L330=""),"",L330-K330)</x:f>
      </x:c>
      <x:c r="N330" s="16" t="str">
        <x:f>IF(AND(A330=A329,ISNUMBER(K330),ISNUMBER(K329)),K330-K329,"")</x:f>
      </x:c>
      <x:c r="O330" s="13" t="str">
        <x:v>Sem informação</x:v>
      </x:c>
      <x:c r="P330" s="26"/>
      <x:c r="Q330" s="13"/>
      <x:c r="R330" s="13"/>
      <x:c r="S330" s="13"/>
      <x:c r="T330" s="13"/>
    </x:row>
    <x:row r="331">
      <x:c r="A331" s="13" t="str">
        <x:v>Gabriel Mec</x:v>
      </x:c>
      <x:c r="B331" s="13" t="n">
        <x:v>2028</x:v>
      </x:c>
      <x:c r="C331" s="13" t="str">
        <x:v>T2</x:v>
      </x:c>
      <x:c r="D331" s="24" t="n">
        <x:v>46934</x:v>
      </x:c>
      <x:c r="E331" s="13" t="str">
        <x:v>Meia-armador</x:v>
      </x:c>
      <x:c r="F331" s="13" t="str">
        <x:v>Grêmio</x:v>
      </x:c>
      <x:c r="G331" s="16"/>
      <x:c r="H331" s="16"/>
      <x:c r="I331" s="16"/>
      <x:c r="J331" s="16"/>
      <x:c r="K331" s="16" t="str">
        <x:f>IF(COUNT(G331,I331)=0,"",AVERAGE(G331,I331))</x:f>
      </x:c>
      <x:c r="L331" s="16" t="str">
        <x:f>IF(COUNT(H331,J331)=0,"",AVERAGE(H331,J331))</x:f>
      </x:c>
      <x:c r="M331" s="16" t="str">
        <x:f>IF(OR(K331="",L331=""),"",L331-K331)</x:f>
      </x:c>
      <x:c r="N331" s="16" t="str">
        <x:f>IF(AND(A331=A330,ISNUMBER(K331),ISNUMBER(K330)),K331-K330,"")</x:f>
      </x:c>
      <x:c r="O331" s="13" t="str">
        <x:v>Sem informação</x:v>
      </x:c>
      <x:c r="P331" s="26"/>
      <x:c r="Q331" s="13"/>
      <x:c r="R331" s="13"/>
      <x:c r="S331" s="13"/>
      <x:c r="T331" s="13"/>
    </x:row>
    <x:row r="332">
      <x:c r="A332" s="13" t="str">
        <x:v>Gabriel Mec</x:v>
      </x:c>
      <x:c r="B332" s="13" t="n">
        <x:v>2028</x:v>
      </x:c>
      <x:c r="C332" s="13" t="str">
        <x:v>T3</x:v>
      </x:c>
      <x:c r="D332" s="24" t="n">
        <x:v>47026</x:v>
      </x:c>
      <x:c r="E332" s="13" t="str">
        <x:v>Meia-armador</x:v>
      </x:c>
      <x:c r="F332" s="13" t="str">
        <x:v>Grêmio</x:v>
      </x:c>
      <x:c r="G332" s="16"/>
      <x:c r="H332" s="16"/>
      <x:c r="I332" s="16"/>
      <x:c r="J332" s="16"/>
      <x:c r="K332" s="16" t="str">
        <x:f>IF(COUNT(G332,I332)=0,"",AVERAGE(G332,I332))</x:f>
      </x:c>
      <x:c r="L332" s="16" t="str">
        <x:f>IF(COUNT(H332,J332)=0,"",AVERAGE(H332,J332))</x:f>
      </x:c>
      <x:c r="M332" s="16" t="str">
        <x:f>IF(OR(K332="",L332=""),"",L332-K332)</x:f>
      </x:c>
      <x:c r="N332" s="16" t="str">
        <x:f>IF(AND(A332=A331,ISNUMBER(K332),ISNUMBER(K331)),K332-K331,"")</x:f>
      </x:c>
      <x:c r="O332" s="13" t="str">
        <x:v>Sem informação</x:v>
      </x:c>
      <x:c r="P332" s="26"/>
      <x:c r="Q332" s="13"/>
      <x:c r="R332" s="13"/>
      <x:c r="S332" s="13"/>
      <x:c r="T332" s="13"/>
    </x:row>
    <x:row r="333">
      <x:c r="A333" s="13" t="str">
        <x:v>Gabriel Mec</x:v>
      </x:c>
      <x:c r="B333" s="13" t="n">
        <x:v>2028</x:v>
      </x:c>
      <x:c r="C333" s="13" t="str">
        <x:v>T4</x:v>
      </x:c>
      <x:c r="D333" s="24" t="n">
        <x:v>47118</x:v>
      </x:c>
      <x:c r="E333" s="13" t="str">
        <x:v>Meia-armador</x:v>
      </x:c>
      <x:c r="F333" s="13" t="str">
        <x:v>Grêmio</x:v>
      </x:c>
      <x:c r="G333" s="16"/>
      <x:c r="H333" s="16"/>
      <x:c r="I333" s="16"/>
      <x:c r="J333" s="16"/>
      <x:c r="K333" s="16" t="str">
        <x:f>IF(COUNT(G333,I333)=0,"",AVERAGE(G333,I333))</x:f>
      </x:c>
      <x:c r="L333" s="16" t="str">
        <x:f>IF(COUNT(H333,J333)=0,"",AVERAGE(H333,J333))</x:f>
      </x:c>
      <x:c r="M333" s="16" t="str">
        <x:f>IF(OR(K333="",L333=""),"",L333-K333)</x:f>
      </x:c>
      <x:c r="N333" s="16" t="str">
        <x:f>IF(AND(A333=A332,ISNUMBER(K333),ISNUMBER(K332)),K333-K332,"")</x:f>
      </x:c>
      <x:c r="O333" s="13" t="str">
        <x:v>Sem informação</x:v>
      </x:c>
      <x:c r="P333" s="26"/>
      <x:c r="Q333" s="13"/>
      <x:c r="R333" s="13"/>
      <x:c r="S333" s="13"/>
      <x:c r="T333" s="13"/>
    </x:row>
    <x:row r="334">
      <x:c r="A334" s="13" t="str">
        <x:v>Gabriel Mec</x:v>
      </x:c>
      <x:c r="B334" s="13" t="n">
        <x:v>2029</x:v>
      </x:c>
      <x:c r="C334" s="13" t="str">
        <x:v>T1</x:v>
      </x:c>
      <x:c r="D334" s="24" t="n">
        <x:v>47208</x:v>
      </x:c>
      <x:c r="E334" s="13" t="str">
        <x:v>Meia-armador</x:v>
      </x:c>
      <x:c r="F334" s="13" t="str">
        <x:v>Grêmio</x:v>
      </x:c>
      <x:c r="G334" s="16"/>
      <x:c r="H334" s="16"/>
      <x:c r="I334" s="16"/>
      <x:c r="J334" s="16"/>
      <x:c r="K334" s="16" t="str">
        <x:f>IF(COUNT(G334,I334)=0,"",AVERAGE(G334,I334))</x:f>
      </x:c>
      <x:c r="L334" s="16" t="str">
        <x:f>IF(COUNT(H334,J334)=0,"",AVERAGE(H334,J334))</x:f>
      </x:c>
      <x:c r="M334" s="16" t="str">
        <x:f>IF(OR(K334="",L334=""),"",L334-K334)</x:f>
      </x:c>
      <x:c r="N334" s="16" t="str">
        <x:f>IF(AND(A334=A333,ISNUMBER(K334),ISNUMBER(K333)),K334-K333,"")</x:f>
      </x:c>
      <x:c r="O334" s="13" t="str">
        <x:v>Sem informação</x:v>
      </x:c>
      <x:c r="P334" s="26"/>
      <x:c r="Q334" s="13"/>
      <x:c r="R334" s="13"/>
      <x:c r="S334" s="13"/>
      <x:c r="T334" s="13"/>
    </x:row>
    <x:row r="335">
      <x:c r="A335" s="13" t="str">
        <x:v>Gabriel Mec</x:v>
      </x:c>
      <x:c r="B335" s="13" t="n">
        <x:v>2029</x:v>
      </x:c>
      <x:c r="C335" s="13" t="str">
        <x:v>T2</x:v>
      </x:c>
      <x:c r="D335" s="24" t="n">
        <x:v>47299</x:v>
      </x:c>
      <x:c r="E335" s="13" t="str">
        <x:v>Meia-armador</x:v>
      </x:c>
      <x:c r="F335" s="13" t="str">
        <x:v>Grêmio</x:v>
      </x:c>
      <x:c r="G335" s="16"/>
      <x:c r="H335" s="16"/>
      <x:c r="I335" s="16"/>
      <x:c r="J335" s="16"/>
      <x:c r="K335" s="16" t="str">
        <x:f>IF(COUNT(G335,I335)=0,"",AVERAGE(G335,I335))</x:f>
      </x:c>
      <x:c r="L335" s="16" t="str">
        <x:f>IF(COUNT(H335,J335)=0,"",AVERAGE(H335,J335))</x:f>
      </x:c>
      <x:c r="M335" s="16" t="str">
        <x:f>IF(OR(K335="",L335=""),"",L335-K335)</x:f>
      </x:c>
      <x:c r="N335" s="16" t="str">
        <x:f>IF(AND(A335=A334,ISNUMBER(K335),ISNUMBER(K334)),K335-K334,"")</x:f>
      </x:c>
      <x:c r="O335" s="13" t="str">
        <x:v>Sem informação</x:v>
      </x:c>
      <x:c r="P335" s="26"/>
      <x:c r="Q335" s="13"/>
      <x:c r="R335" s="13"/>
      <x:c r="S335" s="13"/>
      <x:c r="T335" s="13"/>
    </x:row>
    <x:row r="336">
      <x:c r="A336" s="13" t="str">
        <x:v>Gabriel Mec</x:v>
      </x:c>
      <x:c r="B336" s="13" t="n">
        <x:v>2029</x:v>
      </x:c>
      <x:c r="C336" s="13" t="str">
        <x:v>T3</x:v>
      </x:c>
      <x:c r="D336" s="24" t="n">
        <x:v>47391</x:v>
      </x:c>
      <x:c r="E336" s="13" t="str">
        <x:v>Meia-armador</x:v>
      </x:c>
      <x:c r="F336" s="13" t="str">
        <x:v>Grêmio</x:v>
      </x:c>
      <x:c r="G336" s="16"/>
      <x:c r="H336" s="16"/>
      <x:c r="I336" s="16"/>
      <x:c r="J336" s="16"/>
      <x:c r="K336" s="16" t="str">
        <x:f>IF(COUNT(G336,I336)=0,"",AVERAGE(G336,I336))</x:f>
      </x:c>
      <x:c r="L336" s="16" t="str">
        <x:f>IF(COUNT(H336,J336)=0,"",AVERAGE(H336,J336))</x:f>
      </x:c>
      <x:c r="M336" s="16" t="str">
        <x:f>IF(OR(K336="",L336=""),"",L336-K336)</x:f>
      </x:c>
      <x:c r="N336" s="16" t="str">
        <x:f>IF(AND(A336=A335,ISNUMBER(K336),ISNUMBER(K335)),K336-K335,"")</x:f>
      </x:c>
      <x:c r="O336" s="13" t="str">
        <x:v>Sem informação</x:v>
      </x:c>
      <x:c r="P336" s="26"/>
      <x:c r="Q336" s="13"/>
      <x:c r="R336" s="13"/>
      <x:c r="S336" s="13"/>
      <x:c r="T336" s="13"/>
    </x:row>
    <x:row r="337">
      <x:c r="A337" s="13" t="str">
        <x:v>Gabriel Mec</x:v>
      </x:c>
      <x:c r="B337" s="13" t="n">
        <x:v>2029</x:v>
      </x:c>
      <x:c r="C337" s="13" t="str">
        <x:v>T4</x:v>
      </x:c>
      <x:c r="D337" s="24" t="n">
        <x:v>47483</x:v>
      </x:c>
      <x:c r="E337" s="13" t="str">
        <x:v>Meia-armador</x:v>
      </x:c>
      <x:c r="F337" s="13" t="str">
        <x:v>Grêmio</x:v>
      </x:c>
      <x:c r="G337" s="16"/>
      <x:c r="H337" s="16"/>
      <x:c r="I337" s="16"/>
      <x:c r="J337" s="16"/>
      <x:c r="K337" s="16" t="str">
        <x:f>IF(COUNT(G337,I337)=0,"",AVERAGE(G337,I337))</x:f>
      </x:c>
      <x:c r="L337" s="16" t="str">
        <x:f>IF(COUNT(H337,J337)=0,"",AVERAGE(H337,J337))</x:f>
      </x:c>
      <x:c r="M337" s="16" t="str">
        <x:f>IF(OR(K337="",L337=""),"",L337-K337)</x:f>
      </x:c>
      <x:c r="N337" s="16" t="str">
        <x:f>IF(AND(A337=A336,ISNUMBER(K337),ISNUMBER(K336)),K337-K336,"")</x:f>
      </x:c>
      <x:c r="O337" s="13" t="str">
        <x:v>Sem informação</x:v>
      </x:c>
      <x:c r="P337" s="26"/>
      <x:c r="Q337" s="13"/>
      <x:c r="R337" s="13"/>
      <x:c r="S337" s="13"/>
      <x:c r="T337" s="13"/>
    </x:row>
    <x:row r="338">
      <x:c r="A338" s="13" t="str">
        <x:v>Gabriel Mec</x:v>
      </x:c>
      <x:c r="B338" s="13" t="n">
        <x:v>2030</x:v>
      </x:c>
      <x:c r="C338" s="13" t="str">
        <x:v>T1</x:v>
      </x:c>
      <x:c r="D338" s="24" t="n">
        <x:v>47573</x:v>
      </x:c>
      <x:c r="E338" s="13" t="str">
        <x:v>Meia-armador</x:v>
      </x:c>
      <x:c r="F338" s="13" t="str">
        <x:v>Grêmio</x:v>
      </x:c>
      <x:c r="G338" s="16"/>
      <x:c r="H338" s="16"/>
      <x:c r="I338" s="16"/>
      <x:c r="J338" s="16"/>
      <x:c r="K338" s="16" t="str">
        <x:f>IF(COUNT(G338,I338)=0,"",AVERAGE(G338,I338))</x:f>
      </x:c>
      <x:c r="L338" s="16" t="str">
        <x:f>IF(COUNT(H338,J338)=0,"",AVERAGE(H338,J338))</x:f>
      </x:c>
      <x:c r="M338" s="16" t="str">
        <x:f>IF(OR(K338="",L338=""),"",L338-K338)</x:f>
      </x:c>
      <x:c r="N338" s="16" t="str">
        <x:f>IF(AND(A338=A337,ISNUMBER(K338),ISNUMBER(K337)),K338-K337,"")</x:f>
      </x:c>
      <x:c r="O338" s="13" t="str">
        <x:v>Sem informação</x:v>
      </x:c>
      <x:c r="P338" s="26"/>
      <x:c r="Q338" s="13"/>
      <x:c r="R338" s="13"/>
      <x:c r="S338" s="13"/>
      <x:c r="T338" s="13"/>
    </x:row>
    <x:row r="339">
      <x:c r="A339" s="13" t="str">
        <x:v>Gabriel Mec</x:v>
      </x:c>
      <x:c r="B339" s="13" t="n">
        <x:v>2030</x:v>
      </x:c>
      <x:c r="C339" s="13" t="str">
        <x:v>T2</x:v>
      </x:c>
      <x:c r="D339" s="24" t="n">
        <x:v>47664</x:v>
      </x:c>
      <x:c r="E339" s="13" t="str">
        <x:v>Meia-armador</x:v>
      </x:c>
      <x:c r="F339" s="13" t="str">
        <x:v>Grêmio</x:v>
      </x:c>
      <x:c r="G339" s="16"/>
      <x:c r="H339" s="16"/>
      <x:c r="I339" s="16"/>
      <x:c r="J339" s="16"/>
      <x:c r="K339" s="16" t="str">
        <x:f>IF(COUNT(G339,I339)=0,"",AVERAGE(G339,I339))</x:f>
      </x:c>
      <x:c r="L339" s="16" t="str">
        <x:f>IF(COUNT(H339,J339)=0,"",AVERAGE(H339,J339))</x:f>
      </x:c>
      <x:c r="M339" s="16" t="str">
        <x:f>IF(OR(K339="",L339=""),"",L339-K339)</x:f>
      </x:c>
      <x:c r="N339" s="16" t="str">
        <x:f>IF(AND(A339=A338,ISNUMBER(K339),ISNUMBER(K338)),K339-K338,"")</x:f>
      </x:c>
      <x:c r="O339" s="13" t="str">
        <x:v>Sem informação</x:v>
      </x:c>
      <x:c r="P339" s="26"/>
      <x:c r="Q339" s="13"/>
      <x:c r="R339" s="13"/>
      <x:c r="S339" s="13"/>
      <x:c r="T339" s="13"/>
    </x:row>
    <x:row r="340">
      <x:c r="A340" s="13" t="str">
        <x:v>Gabriel Mec</x:v>
      </x:c>
      <x:c r="B340" s="13" t="n">
        <x:v>2030</x:v>
      </x:c>
      <x:c r="C340" s="13" t="str">
        <x:v>T3</x:v>
      </x:c>
      <x:c r="D340" s="24" t="n">
        <x:v>47756</x:v>
      </x:c>
      <x:c r="E340" s="13" t="str">
        <x:v>Meia-armador</x:v>
      </x:c>
      <x:c r="F340" s="13" t="str">
        <x:v>Grêmio</x:v>
      </x:c>
      <x:c r="G340" s="16"/>
      <x:c r="H340" s="16"/>
      <x:c r="I340" s="16"/>
      <x:c r="J340" s="16"/>
      <x:c r="K340" s="16" t="str">
        <x:f>IF(COUNT(G340,I340)=0,"",AVERAGE(G340,I340))</x:f>
      </x:c>
      <x:c r="L340" s="16" t="str">
        <x:f>IF(COUNT(H340,J340)=0,"",AVERAGE(H340,J340))</x:f>
      </x:c>
      <x:c r="M340" s="16" t="str">
        <x:f>IF(OR(K340="",L340=""),"",L340-K340)</x:f>
      </x:c>
      <x:c r="N340" s="16" t="str">
        <x:f>IF(AND(A340=A339,ISNUMBER(K340),ISNUMBER(K339)),K340-K339,"")</x:f>
      </x:c>
      <x:c r="O340" s="13" t="str">
        <x:v>Sem informação</x:v>
      </x:c>
      <x:c r="P340" s="26"/>
      <x:c r="Q340" s="13"/>
      <x:c r="R340" s="13"/>
      <x:c r="S340" s="13"/>
      <x:c r="T340" s="13"/>
    </x:row>
    <x:row r="341">
      <x:c r="A341" s="13" t="str">
        <x:v>Gabriel Mec</x:v>
      </x:c>
      <x:c r="B341" s="13" t="n">
        <x:v>2030</x:v>
      </x:c>
      <x:c r="C341" s="13" t="str">
        <x:v>T4</x:v>
      </x:c>
      <x:c r="D341" s="24" t="n">
        <x:v>47848</x:v>
      </x:c>
      <x:c r="E341" s="13" t="str">
        <x:v>Meia-armador</x:v>
      </x:c>
      <x:c r="F341" s="13" t="str">
        <x:v>Grêmio</x:v>
      </x:c>
      <x:c r="G341" s="16"/>
      <x:c r="H341" s="16"/>
      <x:c r="I341" s="16"/>
      <x:c r="J341" s="16"/>
      <x:c r="K341" s="16" t="str">
        <x:f>IF(COUNT(G341,I341)=0,"",AVERAGE(G341,I341))</x:f>
      </x:c>
      <x:c r="L341" s="16" t="str">
        <x:f>IF(COUNT(H341,J341)=0,"",AVERAGE(H341,J341))</x:f>
      </x:c>
      <x:c r="M341" s="16" t="str">
        <x:f>IF(OR(K341="",L341=""),"",L341-K341)</x:f>
      </x:c>
      <x:c r="N341" s="16" t="str">
        <x:f>IF(AND(A341=A340,ISNUMBER(K341),ISNUMBER(K340)),K341-K340,"")</x:f>
      </x:c>
      <x:c r="O341" s="13" t="str">
        <x:v>Sem informação</x:v>
      </x:c>
      <x:c r="P341" s="26"/>
      <x:c r="Q341" s="13"/>
      <x:c r="R341" s="13"/>
      <x:c r="S341" s="13"/>
      <x:c r="T341" s="13"/>
    </x:row>
    <x:row r="342">
      <x:c r="A342" s="13" t="str">
        <x:v>Guilherme Garutti</x:v>
      </x:c>
      <x:c r="B342" s="13" t="n">
        <x:v>2026</x:v>
      </x:c>
      <x:c r="C342" s="13" t="str">
        <x:v>T1</x:v>
      </x:c>
      <x:c r="D342" s="24" t="n">
        <x:v>46112</x:v>
      </x:c>
      <x:c r="E342" s="13" t="str">
        <x:v>Zagueiro</x:v>
      </x:c>
      <x:c r="F342" s="13" t="str">
        <x:v>ACSC FC Arges</x:v>
      </x:c>
      <x:c r="G342" s="16"/>
      <x:c r="H342" s="16"/>
      <x:c r="I342" s="16"/>
      <x:c r="J342" s="16"/>
      <x:c r="K342" s="16" t="str">
        <x:f>IF(COUNT(G342,I342)=0,"",AVERAGE(G342,I342))</x:f>
      </x:c>
      <x:c r="L342" s="16" t="str">
        <x:f>IF(COUNT(H342,J342)=0,"",AVERAGE(H342,J342))</x:f>
      </x:c>
      <x:c r="M342" s="16" t="str">
        <x:f>IF(OR(K342="",L342=""),"",L342-K342)</x:f>
      </x:c>
      <x:c r="N342" s="16" t="str">
        <x:f>IF(AND(A342=A341,ISNUMBER(K342),ISNUMBER(K341)),K342-K341,"")</x:f>
      </x:c>
      <x:c r="O342" s="13" t="str">
        <x:v>Sem informação</x:v>
      </x:c>
      <x:c r="P342" s="26"/>
      <x:c r="Q342" s="13"/>
      <x:c r="R342" s="13"/>
      <x:c r="S342" s="13"/>
      <x:c r="T342" s="13"/>
    </x:row>
    <x:row r="343">
      <x:c r="A343" s="13" t="str">
        <x:v>Guilherme Garutti</x:v>
      </x:c>
      <x:c r="B343" s="13" t="n">
        <x:v>2026</x:v>
      </x:c>
      <x:c r="C343" s="13" t="str">
        <x:v>T2</x:v>
      </x:c>
      <x:c r="D343" s="24" t="n">
        <x:v>46203</x:v>
      </x:c>
      <x:c r="E343" s="13" t="str">
        <x:v>Zagueiro</x:v>
      </x:c>
      <x:c r="F343" s="13" t="str">
        <x:v>ACSC FC Arges</x:v>
      </x:c>
      <x:c r="G343" s="16"/>
      <x:c r="H343" s="16"/>
      <x:c r="I343" s="16"/>
      <x:c r="J343" s="16"/>
      <x:c r="K343" s="16" t="str">
        <x:f>IF(COUNT(G343,I343)=0,"",AVERAGE(G343,I343))</x:f>
      </x:c>
      <x:c r="L343" s="16" t="str">
        <x:f>IF(COUNT(H343,J343)=0,"",AVERAGE(H343,J343))</x:f>
      </x:c>
      <x:c r="M343" s="16" t="str">
        <x:f>IF(OR(K343="",L343=""),"",L343-K343)</x:f>
      </x:c>
      <x:c r="N343" s="16" t="str">
        <x:f>IF(AND(A343=A342,ISNUMBER(K343),ISNUMBER(K342)),K343-K342,"")</x:f>
      </x:c>
      <x:c r="O343" s="13" t="str">
        <x:v>Sem informação</x:v>
      </x:c>
      <x:c r="P343" s="26"/>
      <x:c r="Q343" s="13"/>
      <x:c r="R343" s="13"/>
      <x:c r="S343" s="13"/>
      <x:c r="T343" s="13"/>
    </x:row>
    <x:row r="344">
      <x:c r="A344" s="13" t="str">
        <x:v>Guilherme Garutti</x:v>
      </x:c>
      <x:c r="B344" s="13" t="n">
        <x:v>2026</x:v>
      </x:c>
      <x:c r="C344" s="13" t="str">
        <x:v>T3</x:v>
      </x:c>
      <x:c r="D344" s="24" t="n">
        <x:v>46295</x:v>
      </x:c>
      <x:c r="E344" s="13" t="str">
        <x:v>Zagueiro</x:v>
      </x:c>
      <x:c r="F344" s="13" t="str">
        <x:v>ACSC FC Arges</x:v>
      </x:c>
      <x:c r="G344" s="16"/>
      <x:c r="H344" s="16"/>
      <x:c r="I344" s="16"/>
      <x:c r="J344" s="16"/>
      <x:c r="K344" s="16" t="str">
        <x:f>IF(COUNT(G344,I344)=0,"",AVERAGE(G344,I344))</x:f>
      </x:c>
      <x:c r="L344" s="16" t="str">
        <x:f>IF(COUNT(H344,J344)=0,"",AVERAGE(H344,J344))</x:f>
      </x:c>
      <x:c r="M344" s="16" t="str">
        <x:f>IF(OR(K344="",L344=""),"",L344-K344)</x:f>
      </x:c>
      <x:c r="N344" s="16" t="str">
        <x:f>IF(AND(A344=A343,ISNUMBER(K344),ISNUMBER(K343)),K344-K343,"")</x:f>
      </x:c>
      <x:c r="O344" s="13" t="str">
        <x:v>Sem informação</x:v>
      </x:c>
      <x:c r="P344" s="26"/>
      <x:c r="Q344" s="13"/>
      <x:c r="R344" s="13"/>
      <x:c r="S344" s="13"/>
      <x:c r="T344" s="13"/>
    </x:row>
    <x:row r="345">
      <x:c r="A345" s="13" t="str">
        <x:v>Guilherme Garutti</x:v>
      </x:c>
      <x:c r="B345" s="13" t="n">
        <x:v>2026</x:v>
      </x:c>
      <x:c r="C345" s="13" t="str">
        <x:v>T4</x:v>
      </x:c>
      <x:c r="D345" s="24" t="n">
        <x:v>46387</x:v>
      </x:c>
      <x:c r="E345" s="13" t="str">
        <x:v>Zagueiro</x:v>
      </x:c>
      <x:c r="F345" s="13" t="str">
        <x:v>ACSC FC Arges</x:v>
      </x:c>
      <x:c r="G345" s="16"/>
      <x:c r="H345" s="16"/>
      <x:c r="I345" s="16"/>
      <x:c r="J345" s="16"/>
      <x:c r="K345" s="16" t="str">
        <x:f>IF(COUNT(G345,I345)=0,"",AVERAGE(G345,I345))</x:f>
      </x:c>
      <x:c r="L345" s="16" t="str">
        <x:f>IF(COUNT(H345,J345)=0,"",AVERAGE(H345,J345))</x:f>
      </x:c>
      <x:c r="M345" s="16" t="str">
        <x:f>IF(OR(K345="",L345=""),"",L345-K345)</x:f>
      </x:c>
      <x:c r="N345" s="16" t="str">
        <x:f>IF(AND(A345=A344,ISNUMBER(K345),ISNUMBER(K344)),K345-K344,"")</x:f>
      </x:c>
      <x:c r="O345" s="13" t="str">
        <x:v>Sem informação</x:v>
      </x:c>
      <x:c r="P345" s="26"/>
      <x:c r="Q345" s="13"/>
      <x:c r="R345" s="13"/>
      <x:c r="S345" s="13"/>
      <x:c r="T345" s="13"/>
    </x:row>
    <x:row r="346">
      <x:c r="A346" s="13" t="str">
        <x:v>Guilherme Garutti</x:v>
      </x:c>
      <x:c r="B346" s="13" t="n">
        <x:v>2027</x:v>
      </x:c>
      <x:c r="C346" s="13" t="str">
        <x:v>T1</x:v>
      </x:c>
      <x:c r="D346" s="24" t="n">
        <x:v>46477</x:v>
      </x:c>
      <x:c r="E346" s="13" t="str">
        <x:v>Zagueiro</x:v>
      </x:c>
      <x:c r="F346" s="13" t="str">
        <x:v>ACSC FC Arges</x:v>
      </x:c>
      <x:c r="G346" s="16"/>
      <x:c r="H346" s="16"/>
      <x:c r="I346" s="16"/>
      <x:c r="J346" s="16"/>
      <x:c r="K346" s="16" t="str">
        <x:f>IF(COUNT(G346,I346)=0,"",AVERAGE(G346,I346))</x:f>
      </x:c>
      <x:c r="L346" s="16" t="str">
        <x:f>IF(COUNT(H346,J346)=0,"",AVERAGE(H346,J346))</x:f>
      </x:c>
      <x:c r="M346" s="16" t="str">
        <x:f>IF(OR(K346="",L346=""),"",L346-K346)</x:f>
      </x:c>
      <x:c r="N346" s="16" t="str">
        <x:f>IF(AND(A346=A345,ISNUMBER(K346),ISNUMBER(K345)),K346-K345,"")</x:f>
      </x:c>
      <x:c r="O346" s="13" t="str">
        <x:v>Sem informação</x:v>
      </x:c>
      <x:c r="P346" s="26"/>
      <x:c r="Q346" s="13"/>
      <x:c r="R346" s="13"/>
      <x:c r="S346" s="13"/>
      <x:c r="T346" s="13"/>
    </x:row>
    <x:row r="347">
      <x:c r="A347" s="13" t="str">
        <x:v>Guilherme Garutti</x:v>
      </x:c>
      <x:c r="B347" s="13" t="n">
        <x:v>2027</x:v>
      </x:c>
      <x:c r="C347" s="13" t="str">
        <x:v>T2</x:v>
      </x:c>
      <x:c r="D347" s="24" t="n">
        <x:v>46568</x:v>
      </x:c>
      <x:c r="E347" s="13" t="str">
        <x:v>Zagueiro</x:v>
      </x:c>
      <x:c r="F347" s="13" t="str">
        <x:v>ACSC FC Arges</x:v>
      </x:c>
      <x:c r="G347" s="16"/>
      <x:c r="H347" s="16"/>
      <x:c r="I347" s="16"/>
      <x:c r="J347" s="16"/>
      <x:c r="K347" s="16" t="str">
        <x:f>IF(COUNT(G347,I347)=0,"",AVERAGE(G347,I347))</x:f>
      </x:c>
      <x:c r="L347" s="16" t="str">
        <x:f>IF(COUNT(H347,J347)=0,"",AVERAGE(H347,J347))</x:f>
      </x:c>
      <x:c r="M347" s="16" t="str">
        <x:f>IF(OR(K347="",L347=""),"",L347-K347)</x:f>
      </x:c>
      <x:c r="N347" s="16" t="str">
        <x:f>IF(AND(A347=A346,ISNUMBER(K347),ISNUMBER(K346)),K347-K346,"")</x:f>
      </x:c>
      <x:c r="O347" s="13" t="str">
        <x:v>Sem informação</x:v>
      </x:c>
      <x:c r="P347" s="26"/>
      <x:c r="Q347" s="13"/>
      <x:c r="R347" s="13"/>
      <x:c r="S347" s="13"/>
      <x:c r="T347" s="13"/>
    </x:row>
    <x:row r="348">
      <x:c r="A348" s="13" t="str">
        <x:v>Guilherme Garutti</x:v>
      </x:c>
      <x:c r="B348" s="13" t="n">
        <x:v>2027</x:v>
      </x:c>
      <x:c r="C348" s="13" t="str">
        <x:v>T3</x:v>
      </x:c>
      <x:c r="D348" s="24" t="n">
        <x:v>46660</x:v>
      </x:c>
      <x:c r="E348" s="13" t="str">
        <x:v>Zagueiro</x:v>
      </x:c>
      <x:c r="F348" s="13" t="str">
        <x:v>ACSC FC Arges</x:v>
      </x:c>
      <x:c r="G348" s="16"/>
      <x:c r="H348" s="16"/>
      <x:c r="I348" s="16"/>
      <x:c r="J348" s="16"/>
      <x:c r="K348" s="16" t="str">
        <x:f>IF(COUNT(G348,I348)=0,"",AVERAGE(G348,I348))</x:f>
      </x:c>
      <x:c r="L348" s="16" t="str">
        <x:f>IF(COUNT(H348,J348)=0,"",AVERAGE(H348,J348))</x:f>
      </x:c>
      <x:c r="M348" s="16" t="str">
        <x:f>IF(OR(K348="",L348=""),"",L348-K348)</x:f>
      </x:c>
      <x:c r="N348" s="16" t="str">
        <x:f>IF(AND(A348=A347,ISNUMBER(K348),ISNUMBER(K347)),K348-K347,"")</x:f>
      </x:c>
      <x:c r="O348" s="13" t="str">
        <x:v>Sem informação</x:v>
      </x:c>
      <x:c r="P348" s="26"/>
      <x:c r="Q348" s="13"/>
      <x:c r="R348" s="13"/>
      <x:c r="S348" s="13"/>
      <x:c r="T348" s="13"/>
    </x:row>
    <x:row r="349">
      <x:c r="A349" s="13" t="str">
        <x:v>Guilherme Garutti</x:v>
      </x:c>
      <x:c r="B349" s="13" t="n">
        <x:v>2027</x:v>
      </x:c>
      <x:c r="C349" s="13" t="str">
        <x:v>T4</x:v>
      </x:c>
      <x:c r="D349" s="24" t="n">
        <x:v>46752</x:v>
      </x:c>
      <x:c r="E349" s="13" t="str">
        <x:v>Zagueiro</x:v>
      </x:c>
      <x:c r="F349" s="13" t="str">
        <x:v>ACSC FC Arges</x:v>
      </x:c>
      <x:c r="G349" s="16"/>
      <x:c r="H349" s="16"/>
      <x:c r="I349" s="16"/>
      <x:c r="J349" s="16"/>
      <x:c r="K349" s="16" t="str">
        <x:f>IF(COUNT(G349,I349)=0,"",AVERAGE(G349,I349))</x:f>
      </x:c>
      <x:c r="L349" s="16" t="str">
        <x:f>IF(COUNT(H349,J349)=0,"",AVERAGE(H349,J349))</x:f>
      </x:c>
      <x:c r="M349" s="16" t="str">
        <x:f>IF(OR(K349="",L349=""),"",L349-K349)</x:f>
      </x:c>
      <x:c r="N349" s="16" t="str">
        <x:f>IF(AND(A349=A348,ISNUMBER(K349),ISNUMBER(K348)),K349-K348,"")</x:f>
      </x:c>
      <x:c r="O349" s="13" t="str">
        <x:v>Sem informação</x:v>
      </x:c>
      <x:c r="P349" s="26"/>
      <x:c r="Q349" s="13"/>
      <x:c r="R349" s="13"/>
      <x:c r="S349" s="13"/>
      <x:c r="T349" s="13"/>
    </x:row>
    <x:row r="350">
      <x:c r="A350" s="13" t="str">
        <x:v>Guilherme Garutti</x:v>
      </x:c>
      <x:c r="B350" s="13" t="n">
        <x:v>2028</x:v>
      </x:c>
      <x:c r="C350" s="13" t="str">
        <x:v>T1</x:v>
      </x:c>
      <x:c r="D350" s="24" t="n">
        <x:v>46843</x:v>
      </x:c>
      <x:c r="E350" s="13" t="str">
        <x:v>Zagueiro</x:v>
      </x:c>
      <x:c r="F350" s="13" t="str">
        <x:v>ACSC FC Arges</x:v>
      </x:c>
      <x:c r="G350" s="16"/>
      <x:c r="H350" s="16"/>
      <x:c r="I350" s="16"/>
      <x:c r="J350" s="16"/>
      <x:c r="K350" s="16" t="str">
        <x:f>IF(COUNT(G350,I350)=0,"",AVERAGE(G350,I350))</x:f>
      </x:c>
      <x:c r="L350" s="16" t="str">
        <x:f>IF(COUNT(H350,J350)=0,"",AVERAGE(H350,J350))</x:f>
      </x:c>
      <x:c r="M350" s="16" t="str">
        <x:f>IF(OR(K350="",L350=""),"",L350-K350)</x:f>
      </x:c>
      <x:c r="N350" s="16" t="str">
        <x:f>IF(AND(A350=A349,ISNUMBER(K350),ISNUMBER(K349)),K350-K349,"")</x:f>
      </x:c>
      <x:c r="O350" s="13" t="str">
        <x:v>Sem informação</x:v>
      </x:c>
      <x:c r="P350" s="26"/>
      <x:c r="Q350" s="13"/>
      <x:c r="R350" s="13"/>
      <x:c r="S350" s="13"/>
      <x:c r="T350" s="13"/>
    </x:row>
    <x:row r="351">
      <x:c r="A351" s="13" t="str">
        <x:v>Guilherme Garutti</x:v>
      </x:c>
      <x:c r="B351" s="13" t="n">
        <x:v>2028</x:v>
      </x:c>
      <x:c r="C351" s="13" t="str">
        <x:v>T2</x:v>
      </x:c>
      <x:c r="D351" s="24" t="n">
        <x:v>46934</x:v>
      </x:c>
      <x:c r="E351" s="13" t="str">
        <x:v>Zagueiro</x:v>
      </x:c>
      <x:c r="F351" s="13" t="str">
        <x:v>ACSC FC Arges</x:v>
      </x:c>
      <x:c r="G351" s="16"/>
      <x:c r="H351" s="16"/>
      <x:c r="I351" s="16"/>
      <x:c r="J351" s="16"/>
      <x:c r="K351" s="16" t="str">
        <x:f>IF(COUNT(G351,I351)=0,"",AVERAGE(G351,I351))</x:f>
      </x:c>
      <x:c r="L351" s="16" t="str">
        <x:f>IF(COUNT(H351,J351)=0,"",AVERAGE(H351,J351))</x:f>
      </x:c>
      <x:c r="M351" s="16" t="str">
        <x:f>IF(OR(K351="",L351=""),"",L351-K351)</x:f>
      </x:c>
      <x:c r="N351" s="16" t="str">
        <x:f>IF(AND(A351=A350,ISNUMBER(K351),ISNUMBER(K350)),K351-K350,"")</x:f>
      </x:c>
      <x:c r="O351" s="13" t="str">
        <x:v>Sem informação</x:v>
      </x:c>
      <x:c r="P351" s="26"/>
      <x:c r="Q351" s="13"/>
      <x:c r="R351" s="13"/>
      <x:c r="S351" s="13"/>
      <x:c r="T351" s="13"/>
    </x:row>
    <x:row r="352">
      <x:c r="A352" s="13" t="str">
        <x:v>Guilherme Garutti</x:v>
      </x:c>
      <x:c r="B352" s="13" t="n">
        <x:v>2028</x:v>
      </x:c>
      <x:c r="C352" s="13" t="str">
        <x:v>T3</x:v>
      </x:c>
      <x:c r="D352" s="24" t="n">
        <x:v>47026</x:v>
      </x:c>
      <x:c r="E352" s="13" t="str">
        <x:v>Zagueiro</x:v>
      </x:c>
      <x:c r="F352" s="13" t="str">
        <x:v>ACSC FC Arges</x:v>
      </x:c>
      <x:c r="G352" s="16"/>
      <x:c r="H352" s="16"/>
      <x:c r="I352" s="16"/>
      <x:c r="J352" s="16"/>
      <x:c r="K352" s="16" t="str">
        <x:f>IF(COUNT(G352,I352)=0,"",AVERAGE(G352,I352))</x:f>
      </x:c>
      <x:c r="L352" s="16" t="str">
        <x:f>IF(COUNT(H352,J352)=0,"",AVERAGE(H352,J352))</x:f>
      </x:c>
      <x:c r="M352" s="16" t="str">
        <x:f>IF(OR(K352="",L352=""),"",L352-K352)</x:f>
      </x:c>
      <x:c r="N352" s="16" t="str">
        <x:f>IF(AND(A352=A351,ISNUMBER(K352),ISNUMBER(K351)),K352-K351,"")</x:f>
      </x:c>
      <x:c r="O352" s="13" t="str">
        <x:v>Sem informação</x:v>
      </x:c>
      <x:c r="P352" s="26"/>
      <x:c r="Q352" s="13"/>
      <x:c r="R352" s="13"/>
      <x:c r="S352" s="13"/>
      <x:c r="T352" s="13"/>
    </x:row>
    <x:row r="353">
      <x:c r="A353" s="13" t="str">
        <x:v>Guilherme Garutti</x:v>
      </x:c>
      <x:c r="B353" s="13" t="n">
        <x:v>2028</x:v>
      </x:c>
      <x:c r="C353" s="13" t="str">
        <x:v>T4</x:v>
      </x:c>
      <x:c r="D353" s="24" t="n">
        <x:v>47118</x:v>
      </x:c>
      <x:c r="E353" s="13" t="str">
        <x:v>Zagueiro</x:v>
      </x:c>
      <x:c r="F353" s="13" t="str">
        <x:v>ACSC FC Arges</x:v>
      </x:c>
      <x:c r="G353" s="16"/>
      <x:c r="H353" s="16"/>
      <x:c r="I353" s="16"/>
      <x:c r="J353" s="16"/>
      <x:c r="K353" s="16" t="str">
        <x:f>IF(COUNT(G353,I353)=0,"",AVERAGE(G353,I353))</x:f>
      </x:c>
      <x:c r="L353" s="16" t="str">
        <x:f>IF(COUNT(H353,J353)=0,"",AVERAGE(H353,J353))</x:f>
      </x:c>
      <x:c r="M353" s="16" t="str">
        <x:f>IF(OR(K353="",L353=""),"",L353-K353)</x:f>
      </x:c>
      <x:c r="N353" s="16" t="str">
        <x:f>IF(AND(A353=A352,ISNUMBER(K353),ISNUMBER(K352)),K353-K352,"")</x:f>
      </x:c>
      <x:c r="O353" s="13" t="str">
        <x:v>Sem informação</x:v>
      </x:c>
      <x:c r="P353" s="26"/>
      <x:c r="Q353" s="13"/>
      <x:c r="R353" s="13"/>
      <x:c r="S353" s="13"/>
      <x:c r="T353" s="13"/>
    </x:row>
    <x:row r="354">
      <x:c r="A354" s="13" t="str">
        <x:v>Guilherme Garutti</x:v>
      </x:c>
      <x:c r="B354" s="13" t="n">
        <x:v>2029</x:v>
      </x:c>
      <x:c r="C354" s="13" t="str">
        <x:v>T1</x:v>
      </x:c>
      <x:c r="D354" s="24" t="n">
        <x:v>47208</x:v>
      </x:c>
      <x:c r="E354" s="13" t="str">
        <x:v>Zagueiro</x:v>
      </x:c>
      <x:c r="F354" s="13" t="str">
        <x:v>ACSC FC Arges</x:v>
      </x:c>
      <x:c r="G354" s="16"/>
      <x:c r="H354" s="16"/>
      <x:c r="I354" s="16"/>
      <x:c r="J354" s="16"/>
      <x:c r="K354" s="16" t="str">
        <x:f>IF(COUNT(G354,I354)=0,"",AVERAGE(G354,I354))</x:f>
      </x:c>
      <x:c r="L354" s="16" t="str">
        <x:f>IF(COUNT(H354,J354)=0,"",AVERAGE(H354,J354))</x:f>
      </x:c>
      <x:c r="M354" s="16" t="str">
        <x:f>IF(OR(K354="",L354=""),"",L354-K354)</x:f>
      </x:c>
      <x:c r="N354" s="16" t="str">
        <x:f>IF(AND(A354=A353,ISNUMBER(K354),ISNUMBER(K353)),K354-K353,"")</x:f>
      </x:c>
      <x:c r="O354" s="13" t="str">
        <x:v>Sem informação</x:v>
      </x:c>
      <x:c r="P354" s="26"/>
      <x:c r="Q354" s="13"/>
      <x:c r="R354" s="13"/>
      <x:c r="S354" s="13"/>
      <x:c r="T354" s="13"/>
    </x:row>
    <x:row r="355">
      <x:c r="A355" s="13" t="str">
        <x:v>Guilherme Garutti</x:v>
      </x:c>
      <x:c r="B355" s="13" t="n">
        <x:v>2029</x:v>
      </x:c>
      <x:c r="C355" s="13" t="str">
        <x:v>T2</x:v>
      </x:c>
      <x:c r="D355" s="24" t="n">
        <x:v>47299</x:v>
      </x:c>
      <x:c r="E355" s="13" t="str">
        <x:v>Zagueiro</x:v>
      </x:c>
      <x:c r="F355" s="13" t="str">
        <x:v>ACSC FC Arges</x:v>
      </x:c>
      <x:c r="G355" s="16"/>
      <x:c r="H355" s="16"/>
      <x:c r="I355" s="16"/>
      <x:c r="J355" s="16"/>
      <x:c r="K355" s="16" t="str">
        <x:f>IF(COUNT(G355,I355)=0,"",AVERAGE(G355,I355))</x:f>
      </x:c>
      <x:c r="L355" s="16" t="str">
        <x:f>IF(COUNT(H355,J355)=0,"",AVERAGE(H355,J355))</x:f>
      </x:c>
      <x:c r="M355" s="16" t="str">
        <x:f>IF(OR(K355="",L355=""),"",L355-K355)</x:f>
      </x:c>
      <x:c r="N355" s="16" t="str">
        <x:f>IF(AND(A355=A354,ISNUMBER(K355),ISNUMBER(K354)),K355-K354,"")</x:f>
      </x:c>
      <x:c r="O355" s="13" t="str">
        <x:v>Sem informação</x:v>
      </x:c>
      <x:c r="P355" s="26"/>
      <x:c r="Q355" s="13"/>
      <x:c r="R355" s="13"/>
      <x:c r="S355" s="13"/>
      <x:c r="T355" s="13"/>
    </x:row>
    <x:row r="356">
      <x:c r="A356" s="13" t="str">
        <x:v>Guilherme Garutti</x:v>
      </x:c>
      <x:c r="B356" s="13" t="n">
        <x:v>2029</x:v>
      </x:c>
      <x:c r="C356" s="13" t="str">
        <x:v>T3</x:v>
      </x:c>
      <x:c r="D356" s="24" t="n">
        <x:v>47391</x:v>
      </x:c>
      <x:c r="E356" s="13" t="str">
        <x:v>Zagueiro</x:v>
      </x:c>
      <x:c r="F356" s="13" t="str">
        <x:v>ACSC FC Arges</x:v>
      </x:c>
      <x:c r="G356" s="16"/>
      <x:c r="H356" s="16"/>
      <x:c r="I356" s="16"/>
      <x:c r="J356" s="16"/>
      <x:c r="K356" s="16" t="str">
        <x:f>IF(COUNT(G356,I356)=0,"",AVERAGE(G356,I356))</x:f>
      </x:c>
      <x:c r="L356" s="16" t="str">
        <x:f>IF(COUNT(H356,J356)=0,"",AVERAGE(H356,J356))</x:f>
      </x:c>
      <x:c r="M356" s="16" t="str">
        <x:f>IF(OR(K356="",L356=""),"",L356-K356)</x:f>
      </x:c>
      <x:c r="N356" s="16" t="str">
        <x:f>IF(AND(A356=A355,ISNUMBER(K356),ISNUMBER(K355)),K356-K355,"")</x:f>
      </x:c>
      <x:c r="O356" s="13" t="str">
        <x:v>Sem informação</x:v>
      </x:c>
      <x:c r="P356" s="26"/>
      <x:c r="Q356" s="13"/>
      <x:c r="R356" s="13"/>
      <x:c r="S356" s="13"/>
      <x:c r="T356" s="13"/>
    </x:row>
    <x:row r="357">
      <x:c r="A357" s="13" t="str">
        <x:v>Guilherme Garutti</x:v>
      </x:c>
      <x:c r="B357" s="13" t="n">
        <x:v>2029</x:v>
      </x:c>
      <x:c r="C357" s="13" t="str">
        <x:v>T4</x:v>
      </x:c>
      <x:c r="D357" s="24" t="n">
        <x:v>47483</x:v>
      </x:c>
      <x:c r="E357" s="13" t="str">
        <x:v>Zagueiro</x:v>
      </x:c>
      <x:c r="F357" s="13" t="str">
        <x:v>ACSC FC Arges</x:v>
      </x:c>
      <x:c r="G357" s="16"/>
      <x:c r="H357" s="16"/>
      <x:c r="I357" s="16"/>
      <x:c r="J357" s="16"/>
      <x:c r="K357" s="16" t="str">
        <x:f>IF(COUNT(G357,I357)=0,"",AVERAGE(G357,I357))</x:f>
      </x:c>
      <x:c r="L357" s="16" t="str">
        <x:f>IF(COUNT(H357,J357)=0,"",AVERAGE(H357,J357))</x:f>
      </x:c>
      <x:c r="M357" s="16" t="str">
        <x:f>IF(OR(K357="",L357=""),"",L357-K357)</x:f>
      </x:c>
      <x:c r="N357" s="16" t="str">
        <x:f>IF(AND(A357=A356,ISNUMBER(K357),ISNUMBER(K356)),K357-K356,"")</x:f>
      </x:c>
      <x:c r="O357" s="13" t="str">
        <x:v>Sem informação</x:v>
      </x:c>
      <x:c r="P357" s="26"/>
      <x:c r="Q357" s="13"/>
      <x:c r="R357" s="13"/>
      <x:c r="S357" s="13"/>
      <x:c r="T357" s="13"/>
    </x:row>
    <x:row r="358">
      <x:c r="A358" s="13" t="str">
        <x:v>Guilherme Garutti</x:v>
      </x:c>
      <x:c r="B358" s="13" t="n">
        <x:v>2030</x:v>
      </x:c>
      <x:c r="C358" s="13" t="str">
        <x:v>T1</x:v>
      </x:c>
      <x:c r="D358" s="24" t="n">
        <x:v>47573</x:v>
      </x:c>
      <x:c r="E358" s="13" t="str">
        <x:v>Zagueiro</x:v>
      </x:c>
      <x:c r="F358" s="13" t="str">
        <x:v>ACSC FC Arges</x:v>
      </x:c>
      <x:c r="G358" s="16"/>
      <x:c r="H358" s="16"/>
      <x:c r="I358" s="16"/>
      <x:c r="J358" s="16"/>
      <x:c r="K358" s="16" t="str">
        <x:f>IF(COUNT(G358,I358)=0,"",AVERAGE(G358,I358))</x:f>
      </x:c>
      <x:c r="L358" s="16" t="str">
        <x:f>IF(COUNT(H358,J358)=0,"",AVERAGE(H358,J358))</x:f>
      </x:c>
      <x:c r="M358" s="16" t="str">
        <x:f>IF(OR(K358="",L358=""),"",L358-K358)</x:f>
      </x:c>
      <x:c r="N358" s="16" t="str">
        <x:f>IF(AND(A358=A357,ISNUMBER(K358),ISNUMBER(K357)),K358-K357,"")</x:f>
      </x:c>
      <x:c r="O358" s="13" t="str">
        <x:v>Sem informação</x:v>
      </x:c>
      <x:c r="P358" s="26"/>
      <x:c r="Q358" s="13"/>
      <x:c r="R358" s="13"/>
      <x:c r="S358" s="13"/>
      <x:c r="T358" s="13"/>
    </x:row>
    <x:row r="359">
      <x:c r="A359" s="13" t="str">
        <x:v>Guilherme Garutti</x:v>
      </x:c>
      <x:c r="B359" s="13" t="n">
        <x:v>2030</x:v>
      </x:c>
      <x:c r="C359" s="13" t="str">
        <x:v>T2</x:v>
      </x:c>
      <x:c r="D359" s="24" t="n">
        <x:v>47664</x:v>
      </x:c>
      <x:c r="E359" s="13" t="str">
        <x:v>Zagueiro</x:v>
      </x:c>
      <x:c r="F359" s="13" t="str">
        <x:v>ACSC FC Arges</x:v>
      </x:c>
      <x:c r="G359" s="16"/>
      <x:c r="H359" s="16"/>
      <x:c r="I359" s="16"/>
      <x:c r="J359" s="16"/>
      <x:c r="K359" s="16" t="str">
        <x:f>IF(COUNT(G359,I359)=0,"",AVERAGE(G359,I359))</x:f>
      </x:c>
      <x:c r="L359" s="16" t="str">
        <x:f>IF(COUNT(H359,J359)=0,"",AVERAGE(H359,J359))</x:f>
      </x:c>
      <x:c r="M359" s="16" t="str">
        <x:f>IF(OR(K359="",L359=""),"",L359-K359)</x:f>
      </x:c>
      <x:c r="N359" s="16" t="str">
        <x:f>IF(AND(A359=A358,ISNUMBER(K359),ISNUMBER(K358)),K359-K358,"")</x:f>
      </x:c>
      <x:c r="O359" s="13" t="str">
        <x:v>Sem informação</x:v>
      </x:c>
      <x:c r="P359" s="26"/>
      <x:c r="Q359" s="13"/>
      <x:c r="R359" s="13"/>
      <x:c r="S359" s="13"/>
      <x:c r="T359" s="13"/>
    </x:row>
    <x:row r="360">
      <x:c r="A360" s="13" t="str">
        <x:v>Guilherme Garutti</x:v>
      </x:c>
      <x:c r="B360" s="13" t="n">
        <x:v>2030</x:v>
      </x:c>
      <x:c r="C360" s="13" t="str">
        <x:v>T3</x:v>
      </x:c>
      <x:c r="D360" s="24" t="n">
        <x:v>47756</x:v>
      </x:c>
      <x:c r="E360" s="13" t="str">
        <x:v>Zagueiro</x:v>
      </x:c>
      <x:c r="F360" s="13" t="str">
        <x:v>ACSC FC Arges</x:v>
      </x:c>
      <x:c r="G360" s="16"/>
      <x:c r="H360" s="16"/>
      <x:c r="I360" s="16"/>
      <x:c r="J360" s="16"/>
      <x:c r="K360" s="16" t="str">
        <x:f>IF(COUNT(G360,I360)=0,"",AVERAGE(G360,I360))</x:f>
      </x:c>
      <x:c r="L360" s="16" t="str">
        <x:f>IF(COUNT(H360,J360)=0,"",AVERAGE(H360,J360))</x:f>
      </x:c>
      <x:c r="M360" s="16" t="str">
        <x:f>IF(OR(K360="",L360=""),"",L360-K360)</x:f>
      </x:c>
      <x:c r="N360" s="16" t="str">
        <x:f>IF(AND(A360=A359,ISNUMBER(K360),ISNUMBER(K359)),K360-K359,"")</x:f>
      </x:c>
      <x:c r="O360" s="13" t="str">
        <x:v>Sem informação</x:v>
      </x:c>
      <x:c r="P360" s="26"/>
      <x:c r="Q360" s="13"/>
      <x:c r="R360" s="13"/>
      <x:c r="S360" s="13"/>
      <x:c r="T360" s="13"/>
    </x:row>
    <x:row r="361">
      <x:c r="A361" s="13" t="str">
        <x:v>Guilherme Garutti</x:v>
      </x:c>
      <x:c r="B361" s="13" t="n">
        <x:v>2030</x:v>
      </x:c>
      <x:c r="C361" s="13" t="str">
        <x:v>T4</x:v>
      </x:c>
      <x:c r="D361" s="24" t="n">
        <x:v>47848</x:v>
      </x:c>
      <x:c r="E361" s="13" t="str">
        <x:v>Zagueiro</x:v>
      </x:c>
      <x:c r="F361" s="13" t="str">
        <x:v>ACSC FC Arges</x:v>
      </x:c>
      <x:c r="G361" s="16"/>
      <x:c r="H361" s="16"/>
      <x:c r="I361" s="16"/>
      <x:c r="J361" s="16"/>
      <x:c r="K361" s="16" t="str">
        <x:f>IF(COUNT(G361,I361)=0,"",AVERAGE(G361,I361))</x:f>
      </x:c>
      <x:c r="L361" s="16" t="str">
        <x:f>IF(COUNT(H361,J361)=0,"",AVERAGE(H361,J361))</x:f>
      </x:c>
      <x:c r="M361" s="16" t="str">
        <x:f>IF(OR(K361="",L361=""),"",L361-K361)</x:f>
      </x:c>
      <x:c r="N361" s="16" t="str">
        <x:f>IF(AND(A361=A360,ISNUMBER(K361),ISNUMBER(K360)),K361-K360,"")</x:f>
      </x:c>
      <x:c r="O361" s="13" t="str">
        <x:v>Sem informação</x:v>
      </x:c>
      <x:c r="P361" s="26"/>
      <x:c r="Q361" s="13"/>
      <x:c r="R361" s="13"/>
      <x:c r="S361" s="13"/>
      <x:c r="T361" s="13"/>
    </x:row>
    <x:row r="362">
      <x:c r="A362" s="13" t="str">
        <x:v>Hugo Souza</x:v>
      </x:c>
      <x:c r="B362" s="13" t="n">
        <x:v>2026</x:v>
      </x:c>
      <x:c r="C362" s="13" t="str">
        <x:v>T1</x:v>
      </x:c>
      <x:c r="D362" s="24" t="n">
        <x:v>46112</x:v>
      </x:c>
      <x:c r="E362" s="13" t="str">
        <x:v>Goleiro</x:v>
      </x:c>
      <x:c r="F362" s="13" t="str">
        <x:v>SC Corinthians</x:v>
      </x:c>
      <x:c r="G362" s="16"/>
      <x:c r="H362" s="16"/>
      <x:c r="I362" s="16"/>
      <x:c r="J362" s="16"/>
      <x:c r="K362" s="16" t="str">
        <x:f>IF(COUNT(G362,I362)=0,"",AVERAGE(G362,I362))</x:f>
      </x:c>
      <x:c r="L362" s="16" t="str">
        <x:f>IF(COUNT(H362,J362)=0,"",AVERAGE(H362,J362))</x:f>
      </x:c>
      <x:c r="M362" s="16" t="str">
        <x:f>IF(OR(K362="",L362=""),"",L362-K362)</x:f>
      </x:c>
      <x:c r="N362" s="16" t="str">
        <x:f>IF(AND(A362=A361,ISNUMBER(K362),ISNUMBER(K361)),K362-K361,"")</x:f>
      </x:c>
      <x:c r="O362" s="13" t="str">
        <x:v>Sem informação</x:v>
      </x:c>
      <x:c r="P362" s="26"/>
      <x:c r="Q362" s="13"/>
      <x:c r="R362" s="13"/>
      <x:c r="S362" s="13"/>
      <x:c r="T362" s="13"/>
    </x:row>
    <x:row r="363">
      <x:c r="A363" s="13" t="str">
        <x:v>Hugo Souza</x:v>
      </x:c>
      <x:c r="B363" s="13" t="n">
        <x:v>2026</x:v>
      </x:c>
      <x:c r="C363" s="13" t="str">
        <x:v>T2</x:v>
      </x:c>
      <x:c r="D363" s="24" t="n">
        <x:v>46203</x:v>
      </x:c>
      <x:c r="E363" s="13" t="str">
        <x:v>Goleiro</x:v>
      </x:c>
      <x:c r="F363" s="13" t="str">
        <x:v>SC Corinthians</x:v>
      </x:c>
      <x:c r="G363" s="16"/>
      <x:c r="H363" s="16"/>
      <x:c r="I363" s="16"/>
      <x:c r="J363" s="16"/>
      <x:c r="K363" s="16" t="str">
        <x:f>IF(COUNT(G363,I363)=0,"",AVERAGE(G363,I363))</x:f>
      </x:c>
      <x:c r="L363" s="16" t="str">
        <x:f>IF(COUNT(H363,J363)=0,"",AVERAGE(H363,J363))</x:f>
      </x:c>
      <x:c r="M363" s="16" t="str">
        <x:f>IF(OR(K363="",L363=""),"",L363-K363)</x:f>
      </x:c>
      <x:c r="N363" s="16" t="str">
        <x:f>IF(AND(A363=A362,ISNUMBER(K363),ISNUMBER(K362)),K363-K362,"")</x:f>
      </x:c>
      <x:c r="O363" s="13" t="str">
        <x:v>Sem informação</x:v>
      </x:c>
      <x:c r="P363" s="26"/>
      <x:c r="Q363" s="13"/>
      <x:c r="R363" s="13"/>
      <x:c r="S363" s="13"/>
      <x:c r="T363" s="13"/>
    </x:row>
    <x:row r="364">
      <x:c r="A364" s="13" t="str">
        <x:v>Hugo Souza</x:v>
      </x:c>
      <x:c r="B364" s="13" t="n">
        <x:v>2026</x:v>
      </x:c>
      <x:c r="C364" s="13" t="str">
        <x:v>T3</x:v>
      </x:c>
      <x:c r="D364" s="24" t="n">
        <x:v>46295</x:v>
      </x:c>
      <x:c r="E364" s="13" t="str">
        <x:v>Goleiro</x:v>
      </x:c>
      <x:c r="F364" s="13" t="str">
        <x:v>SC Corinthians</x:v>
      </x:c>
      <x:c r="G364" s="16"/>
      <x:c r="H364" s="16"/>
      <x:c r="I364" s="16"/>
      <x:c r="J364" s="16"/>
      <x:c r="K364" s="16" t="str">
        <x:f>IF(COUNT(G364,I364)=0,"",AVERAGE(G364,I364))</x:f>
      </x:c>
      <x:c r="L364" s="16" t="str">
        <x:f>IF(COUNT(H364,J364)=0,"",AVERAGE(H364,J364))</x:f>
      </x:c>
      <x:c r="M364" s="16" t="str">
        <x:f>IF(OR(K364="",L364=""),"",L364-K364)</x:f>
      </x:c>
      <x:c r="N364" s="16" t="str">
        <x:f>IF(AND(A364=A363,ISNUMBER(K364),ISNUMBER(K363)),K364-K363,"")</x:f>
      </x:c>
      <x:c r="O364" s="13" t="str">
        <x:v>Sem informação</x:v>
      </x:c>
      <x:c r="P364" s="26"/>
      <x:c r="Q364" s="13"/>
      <x:c r="R364" s="13"/>
      <x:c r="S364" s="13"/>
      <x:c r="T364" s="13"/>
    </x:row>
    <x:row r="365">
      <x:c r="A365" s="13" t="str">
        <x:v>Hugo Souza</x:v>
      </x:c>
      <x:c r="B365" s="13" t="n">
        <x:v>2026</x:v>
      </x:c>
      <x:c r="C365" s="13" t="str">
        <x:v>T4</x:v>
      </x:c>
      <x:c r="D365" s="24" t="n">
        <x:v>46387</x:v>
      </x:c>
      <x:c r="E365" s="13" t="str">
        <x:v>Goleiro</x:v>
      </x:c>
      <x:c r="F365" s="13" t="str">
        <x:v>SC Corinthians</x:v>
      </x:c>
      <x:c r="G365" s="16"/>
      <x:c r="H365" s="16"/>
      <x:c r="I365" s="16"/>
      <x:c r="J365" s="16"/>
      <x:c r="K365" s="16" t="str">
        <x:f>IF(COUNT(G365,I365)=0,"",AVERAGE(G365,I365))</x:f>
      </x:c>
      <x:c r="L365" s="16" t="str">
        <x:f>IF(COUNT(H365,J365)=0,"",AVERAGE(H365,J365))</x:f>
      </x:c>
      <x:c r="M365" s="16" t="str">
        <x:f>IF(OR(K365="",L365=""),"",L365-K365)</x:f>
      </x:c>
      <x:c r="N365" s="16" t="str">
        <x:f>IF(AND(A365=A364,ISNUMBER(K365),ISNUMBER(K364)),K365-K364,"")</x:f>
      </x:c>
      <x:c r="O365" s="13" t="str">
        <x:v>Sem informação</x:v>
      </x:c>
      <x:c r="P365" s="26"/>
      <x:c r="Q365" s="13"/>
      <x:c r="R365" s="13"/>
      <x:c r="S365" s="13"/>
      <x:c r="T365" s="13"/>
    </x:row>
    <x:row r="366">
      <x:c r="A366" s="13" t="str">
        <x:v>Hugo Souza</x:v>
      </x:c>
      <x:c r="B366" s="13" t="n">
        <x:v>2027</x:v>
      </x:c>
      <x:c r="C366" s="13" t="str">
        <x:v>T1</x:v>
      </x:c>
      <x:c r="D366" s="24" t="n">
        <x:v>46477</x:v>
      </x:c>
      <x:c r="E366" s="13" t="str">
        <x:v>Goleiro</x:v>
      </x:c>
      <x:c r="F366" s="13" t="str">
        <x:v>SC Corinthians</x:v>
      </x:c>
      <x:c r="G366" s="16"/>
      <x:c r="H366" s="16"/>
      <x:c r="I366" s="16"/>
      <x:c r="J366" s="16"/>
      <x:c r="K366" s="16" t="str">
        <x:f>IF(COUNT(G366,I366)=0,"",AVERAGE(G366,I366))</x:f>
      </x:c>
      <x:c r="L366" s="16" t="str">
        <x:f>IF(COUNT(H366,J366)=0,"",AVERAGE(H366,J366))</x:f>
      </x:c>
      <x:c r="M366" s="16" t="str">
        <x:f>IF(OR(K366="",L366=""),"",L366-K366)</x:f>
      </x:c>
      <x:c r="N366" s="16" t="str">
        <x:f>IF(AND(A366=A365,ISNUMBER(K366),ISNUMBER(K365)),K366-K365,"")</x:f>
      </x:c>
      <x:c r="O366" s="13" t="str">
        <x:v>Sem informação</x:v>
      </x:c>
      <x:c r="P366" s="26"/>
      <x:c r="Q366" s="13"/>
      <x:c r="R366" s="13"/>
      <x:c r="S366" s="13"/>
      <x:c r="T366" s="13"/>
    </x:row>
    <x:row r="367">
      <x:c r="A367" s="13" t="str">
        <x:v>Hugo Souza</x:v>
      </x:c>
      <x:c r="B367" s="13" t="n">
        <x:v>2027</x:v>
      </x:c>
      <x:c r="C367" s="13" t="str">
        <x:v>T2</x:v>
      </x:c>
      <x:c r="D367" s="24" t="n">
        <x:v>46568</x:v>
      </x:c>
      <x:c r="E367" s="13" t="str">
        <x:v>Goleiro</x:v>
      </x:c>
      <x:c r="F367" s="13" t="str">
        <x:v>SC Corinthians</x:v>
      </x:c>
      <x:c r="G367" s="16"/>
      <x:c r="H367" s="16"/>
      <x:c r="I367" s="16"/>
      <x:c r="J367" s="16"/>
      <x:c r="K367" s="16" t="str">
        <x:f>IF(COUNT(G367,I367)=0,"",AVERAGE(G367,I367))</x:f>
      </x:c>
      <x:c r="L367" s="16" t="str">
        <x:f>IF(COUNT(H367,J367)=0,"",AVERAGE(H367,J367))</x:f>
      </x:c>
      <x:c r="M367" s="16" t="str">
        <x:f>IF(OR(K367="",L367=""),"",L367-K367)</x:f>
      </x:c>
      <x:c r="N367" s="16" t="str">
        <x:f>IF(AND(A367=A366,ISNUMBER(K367),ISNUMBER(K366)),K367-K366,"")</x:f>
      </x:c>
      <x:c r="O367" s="13" t="str">
        <x:v>Sem informação</x:v>
      </x:c>
      <x:c r="P367" s="26"/>
      <x:c r="Q367" s="13"/>
      <x:c r="R367" s="13"/>
      <x:c r="S367" s="13"/>
      <x:c r="T367" s="13"/>
    </x:row>
    <x:row r="368">
      <x:c r="A368" s="13" t="str">
        <x:v>Hugo Souza</x:v>
      </x:c>
      <x:c r="B368" s="13" t="n">
        <x:v>2027</x:v>
      </x:c>
      <x:c r="C368" s="13" t="str">
        <x:v>T3</x:v>
      </x:c>
      <x:c r="D368" s="24" t="n">
        <x:v>46660</x:v>
      </x:c>
      <x:c r="E368" s="13" t="str">
        <x:v>Goleiro</x:v>
      </x:c>
      <x:c r="F368" s="13" t="str">
        <x:v>SC Corinthians</x:v>
      </x:c>
      <x:c r="G368" s="16"/>
      <x:c r="H368" s="16"/>
      <x:c r="I368" s="16"/>
      <x:c r="J368" s="16"/>
      <x:c r="K368" s="16" t="str">
        <x:f>IF(COUNT(G368,I368)=0,"",AVERAGE(G368,I368))</x:f>
      </x:c>
      <x:c r="L368" s="16" t="str">
        <x:f>IF(COUNT(H368,J368)=0,"",AVERAGE(H368,J368))</x:f>
      </x:c>
      <x:c r="M368" s="16" t="str">
        <x:f>IF(OR(K368="",L368=""),"",L368-K368)</x:f>
      </x:c>
      <x:c r="N368" s="16" t="str">
        <x:f>IF(AND(A368=A367,ISNUMBER(K368),ISNUMBER(K367)),K368-K367,"")</x:f>
      </x:c>
      <x:c r="O368" s="13" t="str">
        <x:v>Sem informação</x:v>
      </x:c>
      <x:c r="P368" s="26"/>
      <x:c r="Q368" s="13"/>
      <x:c r="R368" s="13"/>
      <x:c r="S368" s="13"/>
      <x:c r="T368" s="13"/>
    </x:row>
    <x:row r="369">
      <x:c r="A369" s="13" t="str">
        <x:v>Hugo Souza</x:v>
      </x:c>
      <x:c r="B369" s="13" t="n">
        <x:v>2027</x:v>
      </x:c>
      <x:c r="C369" s="13" t="str">
        <x:v>T4</x:v>
      </x:c>
      <x:c r="D369" s="24" t="n">
        <x:v>46752</x:v>
      </x:c>
      <x:c r="E369" s="13" t="str">
        <x:v>Goleiro</x:v>
      </x:c>
      <x:c r="F369" s="13" t="str">
        <x:v>SC Corinthians</x:v>
      </x:c>
      <x:c r="G369" s="16"/>
      <x:c r="H369" s="16"/>
      <x:c r="I369" s="16"/>
      <x:c r="J369" s="16"/>
      <x:c r="K369" s="16" t="str">
        <x:f>IF(COUNT(G369,I369)=0,"",AVERAGE(G369,I369))</x:f>
      </x:c>
      <x:c r="L369" s="16" t="str">
        <x:f>IF(COUNT(H369,J369)=0,"",AVERAGE(H369,J369))</x:f>
      </x:c>
      <x:c r="M369" s="16" t="str">
        <x:f>IF(OR(K369="",L369=""),"",L369-K369)</x:f>
      </x:c>
      <x:c r="N369" s="16" t="str">
        <x:f>IF(AND(A369=A368,ISNUMBER(K369),ISNUMBER(K368)),K369-K368,"")</x:f>
      </x:c>
      <x:c r="O369" s="13" t="str">
        <x:v>Sem informação</x:v>
      </x:c>
      <x:c r="P369" s="26"/>
      <x:c r="Q369" s="13"/>
      <x:c r="R369" s="13"/>
      <x:c r="S369" s="13"/>
      <x:c r="T369" s="13"/>
    </x:row>
    <x:row r="370">
      <x:c r="A370" s="13" t="str">
        <x:v>Hugo Souza</x:v>
      </x:c>
      <x:c r="B370" s="13" t="n">
        <x:v>2028</x:v>
      </x:c>
      <x:c r="C370" s="13" t="str">
        <x:v>T1</x:v>
      </x:c>
      <x:c r="D370" s="24" t="n">
        <x:v>46843</x:v>
      </x:c>
      <x:c r="E370" s="13" t="str">
        <x:v>Goleiro</x:v>
      </x:c>
      <x:c r="F370" s="13" t="str">
        <x:v>SC Corinthians</x:v>
      </x:c>
      <x:c r="G370" s="16"/>
      <x:c r="H370" s="16"/>
      <x:c r="I370" s="16"/>
      <x:c r="J370" s="16"/>
      <x:c r="K370" s="16" t="str">
        <x:f>IF(COUNT(G370,I370)=0,"",AVERAGE(G370,I370))</x:f>
      </x:c>
      <x:c r="L370" s="16" t="str">
        <x:f>IF(COUNT(H370,J370)=0,"",AVERAGE(H370,J370))</x:f>
      </x:c>
      <x:c r="M370" s="16" t="str">
        <x:f>IF(OR(K370="",L370=""),"",L370-K370)</x:f>
      </x:c>
      <x:c r="N370" s="16" t="str">
        <x:f>IF(AND(A370=A369,ISNUMBER(K370),ISNUMBER(K369)),K370-K369,"")</x:f>
      </x:c>
      <x:c r="O370" s="13" t="str">
        <x:v>Sem informação</x:v>
      </x:c>
      <x:c r="P370" s="26"/>
      <x:c r="Q370" s="13"/>
      <x:c r="R370" s="13"/>
      <x:c r="S370" s="13"/>
      <x:c r="T370" s="13"/>
    </x:row>
    <x:row r="371">
      <x:c r="A371" s="13" t="str">
        <x:v>Hugo Souza</x:v>
      </x:c>
      <x:c r="B371" s="13" t="n">
        <x:v>2028</x:v>
      </x:c>
      <x:c r="C371" s="13" t="str">
        <x:v>T2</x:v>
      </x:c>
      <x:c r="D371" s="24" t="n">
        <x:v>46934</x:v>
      </x:c>
      <x:c r="E371" s="13" t="str">
        <x:v>Goleiro</x:v>
      </x:c>
      <x:c r="F371" s="13" t="str">
        <x:v>SC Corinthians</x:v>
      </x:c>
      <x:c r="G371" s="16"/>
      <x:c r="H371" s="16"/>
      <x:c r="I371" s="16"/>
      <x:c r="J371" s="16"/>
      <x:c r="K371" s="16" t="str">
        <x:f>IF(COUNT(G371,I371)=0,"",AVERAGE(G371,I371))</x:f>
      </x:c>
      <x:c r="L371" s="16" t="str">
        <x:f>IF(COUNT(H371,J371)=0,"",AVERAGE(H371,J371))</x:f>
      </x:c>
      <x:c r="M371" s="16" t="str">
        <x:f>IF(OR(K371="",L371=""),"",L371-K371)</x:f>
      </x:c>
      <x:c r="N371" s="16" t="str">
        <x:f>IF(AND(A371=A370,ISNUMBER(K371),ISNUMBER(K370)),K371-K370,"")</x:f>
      </x:c>
      <x:c r="O371" s="13" t="str">
        <x:v>Sem informação</x:v>
      </x:c>
      <x:c r="P371" s="26"/>
      <x:c r="Q371" s="13"/>
      <x:c r="R371" s="13"/>
      <x:c r="S371" s="13"/>
      <x:c r="T371" s="13"/>
    </x:row>
    <x:row r="372">
      <x:c r="A372" s="13" t="str">
        <x:v>Hugo Souza</x:v>
      </x:c>
      <x:c r="B372" s="13" t="n">
        <x:v>2028</x:v>
      </x:c>
      <x:c r="C372" s="13" t="str">
        <x:v>T3</x:v>
      </x:c>
      <x:c r="D372" s="24" t="n">
        <x:v>47026</x:v>
      </x:c>
      <x:c r="E372" s="13" t="str">
        <x:v>Goleiro</x:v>
      </x:c>
      <x:c r="F372" s="13" t="str">
        <x:v>SC Corinthians</x:v>
      </x:c>
      <x:c r="G372" s="16"/>
      <x:c r="H372" s="16"/>
      <x:c r="I372" s="16"/>
      <x:c r="J372" s="16"/>
      <x:c r="K372" s="16" t="str">
        <x:f>IF(COUNT(G372,I372)=0,"",AVERAGE(G372,I372))</x:f>
      </x:c>
      <x:c r="L372" s="16" t="str">
        <x:f>IF(COUNT(H372,J372)=0,"",AVERAGE(H372,J372))</x:f>
      </x:c>
      <x:c r="M372" s="16" t="str">
        <x:f>IF(OR(K372="",L372=""),"",L372-K372)</x:f>
      </x:c>
      <x:c r="N372" s="16" t="str">
        <x:f>IF(AND(A372=A371,ISNUMBER(K372),ISNUMBER(K371)),K372-K371,"")</x:f>
      </x:c>
      <x:c r="O372" s="13" t="str">
        <x:v>Sem informação</x:v>
      </x:c>
      <x:c r="P372" s="26"/>
      <x:c r="Q372" s="13"/>
      <x:c r="R372" s="13"/>
      <x:c r="S372" s="13"/>
      <x:c r="T372" s="13"/>
    </x:row>
    <x:row r="373">
      <x:c r="A373" s="13" t="str">
        <x:v>Hugo Souza</x:v>
      </x:c>
      <x:c r="B373" s="13" t="n">
        <x:v>2028</x:v>
      </x:c>
      <x:c r="C373" s="13" t="str">
        <x:v>T4</x:v>
      </x:c>
      <x:c r="D373" s="24" t="n">
        <x:v>47118</x:v>
      </x:c>
      <x:c r="E373" s="13" t="str">
        <x:v>Goleiro</x:v>
      </x:c>
      <x:c r="F373" s="13" t="str">
        <x:v>SC Corinthians</x:v>
      </x:c>
      <x:c r="G373" s="16"/>
      <x:c r="H373" s="16"/>
      <x:c r="I373" s="16"/>
      <x:c r="J373" s="16"/>
      <x:c r="K373" s="16" t="str">
        <x:f>IF(COUNT(G373,I373)=0,"",AVERAGE(G373,I373))</x:f>
      </x:c>
      <x:c r="L373" s="16" t="str">
        <x:f>IF(COUNT(H373,J373)=0,"",AVERAGE(H373,J373))</x:f>
      </x:c>
      <x:c r="M373" s="16" t="str">
        <x:f>IF(OR(K373="",L373=""),"",L373-K373)</x:f>
      </x:c>
      <x:c r="N373" s="16" t="str">
        <x:f>IF(AND(A373=A372,ISNUMBER(K373),ISNUMBER(K372)),K373-K372,"")</x:f>
      </x:c>
      <x:c r="O373" s="13" t="str">
        <x:v>Sem informação</x:v>
      </x:c>
      <x:c r="P373" s="26"/>
      <x:c r="Q373" s="13"/>
      <x:c r="R373" s="13"/>
      <x:c r="S373" s="13"/>
      <x:c r="T373" s="13"/>
    </x:row>
    <x:row r="374">
      <x:c r="A374" s="13" t="str">
        <x:v>Hugo Souza</x:v>
      </x:c>
      <x:c r="B374" s="13" t="n">
        <x:v>2029</x:v>
      </x:c>
      <x:c r="C374" s="13" t="str">
        <x:v>T1</x:v>
      </x:c>
      <x:c r="D374" s="24" t="n">
        <x:v>47208</x:v>
      </x:c>
      <x:c r="E374" s="13" t="str">
        <x:v>Goleiro</x:v>
      </x:c>
      <x:c r="F374" s="13" t="str">
        <x:v>SC Corinthians</x:v>
      </x:c>
      <x:c r="G374" s="16"/>
      <x:c r="H374" s="16"/>
      <x:c r="I374" s="16"/>
      <x:c r="J374" s="16"/>
      <x:c r="K374" s="16" t="str">
        <x:f>IF(COUNT(G374,I374)=0,"",AVERAGE(G374,I374))</x:f>
      </x:c>
      <x:c r="L374" s="16" t="str">
        <x:f>IF(COUNT(H374,J374)=0,"",AVERAGE(H374,J374))</x:f>
      </x:c>
      <x:c r="M374" s="16" t="str">
        <x:f>IF(OR(K374="",L374=""),"",L374-K374)</x:f>
      </x:c>
      <x:c r="N374" s="16" t="str">
        <x:f>IF(AND(A374=A373,ISNUMBER(K374),ISNUMBER(K373)),K374-K373,"")</x:f>
      </x:c>
      <x:c r="O374" s="13" t="str">
        <x:v>Sem informação</x:v>
      </x:c>
      <x:c r="P374" s="26"/>
      <x:c r="Q374" s="13"/>
      <x:c r="R374" s="13"/>
      <x:c r="S374" s="13"/>
      <x:c r="T374" s="13"/>
    </x:row>
    <x:row r="375">
      <x:c r="A375" s="13" t="str">
        <x:v>Hugo Souza</x:v>
      </x:c>
      <x:c r="B375" s="13" t="n">
        <x:v>2029</x:v>
      </x:c>
      <x:c r="C375" s="13" t="str">
        <x:v>T2</x:v>
      </x:c>
      <x:c r="D375" s="24" t="n">
        <x:v>47299</x:v>
      </x:c>
      <x:c r="E375" s="13" t="str">
        <x:v>Goleiro</x:v>
      </x:c>
      <x:c r="F375" s="13" t="str">
        <x:v>SC Corinthians</x:v>
      </x:c>
      <x:c r="G375" s="16"/>
      <x:c r="H375" s="16"/>
      <x:c r="I375" s="16"/>
      <x:c r="J375" s="16"/>
      <x:c r="K375" s="16" t="str">
        <x:f>IF(COUNT(G375,I375)=0,"",AVERAGE(G375,I375))</x:f>
      </x:c>
      <x:c r="L375" s="16" t="str">
        <x:f>IF(COUNT(H375,J375)=0,"",AVERAGE(H375,J375))</x:f>
      </x:c>
      <x:c r="M375" s="16" t="str">
        <x:f>IF(OR(K375="",L375=""),"",L375-K375)</x:f>
      </x:c>
      <x:c r="N375" s="16" t="str">
        <x:f>IF(AND(A375=A374,ISNUMBER(K375),ISNUMBER(K374)),K375-K374,"")</x:f>
      </x:c>
      <x:c r="O375" s="13" t="str">
        <x:v>Sem informação</x:v>
      </x:c>
      <x:c r="P375" s="26"/>
      <x:c r="Q375" s="13"/>
      <x:c r="R375" s="13"/>
      <x:c r="S375" s="13"/>
      <x:c r="T375" s="13"/>
    </x:row>
    <x:row r="376">
      <x:c r="A376" s="13" t="str">
        <x:v>Hugo Souza</x:v>
      </x:c>
      <x:c r="B376" s="13" t="n">
        <x:v>2029</x:v>
      </x:c>
      <x:c r="C376" s="13" t="str">
        <x:v>T3</x:v>
      </x:c>
      <x:c r="D376" s="24" t="n">
        <x:v>47391</x:v>
      </x:c>
      <x:c r="E376" s="13" t="str">
        <x:v>Goleiro</x:v>
      </x:c>
      <x:c r="F376" s="13" t="str">
        <x:v>SC Corinthians</x:v>
      </x:c>
      <x:c r="G376" s="16"/>
      <x:c r="H376" s="16"/>
      <x:c r="I376" s="16"/>
      <x:c r="J376" s="16"/>
      <x:c r="K376" s="16" t="str">
        <x:f>IF(COUNT(G376,I376)=0,"",AVERAGE(G376,I376))</x:f>
      </x:c>
      <x:c r="L376" s="16" t="str">
        <x:f>IF(COUNT(H376,J376)=0,"",AVERAGE(H376,J376))</x:f>
      </x:c>
      <x:c r="M376" s="16" t="str">
        <x:f>IF(OR(K376="",L376=""),"",L376-K376)</x:f>
      </x:c>
      <x:c r="N376" s="16" t="str">
        <x:f>IF(AND(A376=A375,ISNUMBER(K376),ISNUMBER(K375)),K376-K375,"")</x:f>
      </x:c>
      <x:c r="O376" s="13" t="str">
        <x:v>Sem informação</x:v>
      </x:c>
      <x:c r="P376" s="26"/>
      <x:c r="Q376" s="13"/>
      <x:c r="R376" s="13"/>
      <x:c r="S376" s="13"/>
      <x:c r="T376" s="13"/>
    </x:row>
    <x:row r="377">
      <x:c r="A377" s="13" t="str">
        <x:v>Hugo Souza</x:v>
      </x:c>
      <x:c r="B377" s="13" t="n">
        <x:v>2029</x:v>
      </x:c>
      <x:c r="C377" s="13" t="str">
        <x:v>T4</x:v>
      </x:c>
      <x:c r="D377" s="24" t="n">
        <x:v>47483</x:v>
      </x:c>
      <x:c r="E377" s="13" t="str">
        <x:v>Goleiro</x:v>
      </x:c>
      <x:c r="F377" s="13" t="str">
        <x:v>SC Corinthians</x:v>
      </x:c>
      <x:c r="G377" s="16"/>
      <x:c r="H377" s="16"/>
      <x:c r="I377" s="16"/>
      <x:c r="J377" s="16"/>
      <x:c r="K377" s="16" t="str">
        <x:f>IF(COUNT(G377,I377)=0,"",AVERAGE(G377,I377))</x:f>
      </x:c>
      <x:c r="L377" s="16" t="str">
        <x:f>IF(COUNT(H377,J377)=0,"",AVERAGE(H377,J377))</x:f>
      </x:c>
      <x:c r="M377" s="16" t="str">
        <x:f>IF(OR(K377="",L377=""),"",L377-K377)</x:f>
      </x:c>
      <x:c r="N377" s="16" t="str">
        <x:f>IF(AND(A377=A376,ISNUMBER(K377),ISNUMBER(K376)),K377-K376,"")</x:f>
      </x:c>
      <x:c r="O377" s="13" t="str">
        <x:v>Sem informação</x:v>
      </x:c>
      <x:c r="P377" s="26"/>
      <x:c r="Q377" s="13"/>
      <x:c r="R377" s="13"/>
      <x:c r="S377" s="13"/>
      <x:c r="T377" s="13"/>
    </x:row>
    <x:row r="378">
      <x:c r="A378" s="13" t="str">
        <x:v>Hugo Souza</x:v>
      </x:c>
      <x:c r="B378" s="13" t="n">
        <x:v>2030</x:v>
      </x:c>
      <x:c r="C378" s="13" t="str">
        <x:v>T1</x:v>
      </x:c>
      <x:c r="D378" s="24" t="n">
        <x:v>47573</x:v>
      </x:c>
      <x:c r="E378" s="13" t="str">
        <x:v>Goleiro</x:v>
      </x:c>
      <x:c r="F378" s="13" t="str">
        <x:v>SC Corinthians</x:v>
      </x:c>
      <x:c r="G378" s="16"/>
      <x:c r="H378" s="16"/>
      <x:c r="I378" s="16"/>
      <x:c r="J378" s="16"/>
      <x:c r="K378" s="16" t="str">
        <x:f>IF(COUNT(G378,I378)=0,"",AVERAGE(G378,I378))</x:f>
      </x:c>
      <x:c r="L378" s="16" t="str">
        <x:f>IF(COUNT(H378,J378)=0,"",AVERAGE(H378,J378))</x:f>
      </x:c>
      <x:c r="M378" s="16" t="str">
        <x:f>IF(OR(K378="",L378=""),"",L378-K378)</x:f>
      </x:c>
      <x:c r="N378" s="16" t="str">
        <x:f>IF(AND(A378=A377,ISNUMBER(K378),ISNUMBER(K377)),K378-K377,"")</x:f>
      </x:c>
      <x:c r="O378" s="13" t="str">
        <x:v>Sem informação</x:v>
      </x:c>
      <x:c r="P378" s="26"/>
      <x:c r="Q378" s="13"/>
      <x:c r="R378" s="13"/>
      <x:c r="S378" s="13"/>
      <x:c r="T378" s="13"/>
    </x:row>
    <x:row r="379">
      <x:c r="A379" s="13" t="str">
        <x:v>Hugo Souza</x:v>
      </x:c>
      <x:c r="B379" s="13" t="n">
        <x:v>2030</x:v>
      </x:c>
      <x:c r="C379" s="13" t="str">
        <x:v>T2</x:v>
      </x:c>
      <x:c r="D379" s="24" t="n">
        <x:v>47664</x:v>
      </x:c>
      <x:c r="E379" s="13" t="str">
        <x:v>Goleiro</x:v>
      </x:c>
      <x:c r="F379" s="13" t="str">
        <x:v>SC Corinthians</x:v>
      </x:c>
      <x:c r="G379" s="16"/>
      <x:c r="H379" s="16"/>
      <x:c r="I379" s="16"/>
      <x:c r="J379" s="16"/>
      <x:c r="K379" s="16" t="str">
        <x:f>IF(COUNT(G379,I379)=0,"",AVERAGE(G379,I379))</x:f>
      </x:c>
      <x:c r="L379" s="16" t="str">
        <x:f>IF(COUNT(H379,J379)=0,"",AVERAGE(H379,J379))</x:f>
      </x:c>
      <x:c r="M379" s="16" t="str">
        <x:f>IF(OR(K379="",L379=""),"",L379-K379)</x:f>
      </x:c>
      <x:c r="N379" s="16" t="str">
        <x:f>IF(AND(A379=A378,ISNUMBER(K379),ISNUMBER(K378)),K379-K378,"")</x:f>
      </x:c>
      <x:c r="O379" s="13" t="str">
        <x:v>Sem informação</x:v>
      </x:c>
      <x:c r="P379" s="26"/>
      <x:c r="Q379" s="13"/>
      <x:c r="R379" s="13"/>
      <x:c r="S379" s="13"/>
      <x:c r="T379" s="13"/>
    </x:row>
    <x:row r="380">
      <x:c r="A380" s="13" t="str">
        <x:v>Hugo Souza</x:v>
      </x:c>
      <x:c r="B380" s="13" t="n">
        <x:v>2030</x:v>
      </x:c>
      <x:c r="C380" s="13" t="str">
        <x:v>T3</x:v>
      </x:c>
      <x:c r="D380" s="24" t="n">
        <x:v>47756</x:v>
      </x:c>
      <x:c r="E380" s="13" t="str">
        <x:v>Goleiro</x:v>
      </x:c>
      <x:c r="F380" s="13" t="str">
        <x:v>SC Corinthians</x:v>
      </x:c>
      <x:c r="G380" s="16"/>
      <x:c r="H380" s="16"/>
      <x:c r="I380" s="16"/>
      <x:c r="J380" s="16"/>
      <x:c r="K380" s="16" t="str">
        <x:f>IF(COUNT(G380,I380)=0,"",AVERAGE(G380,I380))</x:f>
      </x:c>
      <x:c r="L380" s="16" t="str">
        <x:f>IF(COUNT(H380,J380)=0,"",AVERAGE(H380,J380))</x:f>
      </x:c>
      <x:c r="M380" s="16" t="str">
        <x:f>IF(OR(K380="",L380=""),"",L380-K380)</x:f>
      </x:c>
      <x:c r="N380" s="16" t="str">
        <x:f>IF(AND(A380=A379,ISNUMBER(K380),ISNUMBER(K379)),K380-K379,"")</x:f>
      </x:c>
      <x:c r="O380" s="13" t="str">
        <x:v>Sem informação</x:v>
      </x:c>
      <x:c r="P380" s="26"/>
      <x:c r="Q380" s="13"/>
      <x:c r="R380" s="13"/>
      <x:c r="S380" s="13"/>
      <x:c r="T380" s="13"/>
    </x:row>
    <x:row r="381">
      <x:c r="A381" s="13" t="str">
        <x:v>Hugo Souza</x:v>
      </x:c>
      <x:c r="B381" s="13" t="n">
        <x:v>2030</x:v>
      </x:c>
      <x:c r="C381" s="13" t="str">
        <x:v>T4</x:v>
      </x:c>
      <x:c r="D381" s="24" t="n">
        <x:v>47848</x:v>
      </x:c>
      <x:c r="E381" s="13" t="str">
        <x:v>Goleiro</x:v>
      </x:c>
      <x:c r="F381" s="13" t="str">
        <x:v>SC Corinthians</x:v>
      </x:c>
      <x:c r="G381" s="16"/>
      <x:c r="H381" s="16"/>
      <x:c r="I381" s="16"/>
      <x:c r="J381" s="16"/>
      <x:c r="K381" s="16" t="str">
        <x:f>IF(COUNT(G381,I381)=0,"",AVERAGE(G381,I381))</x:f>
      </x:c>
      <x:c r="L381" s="16" t="str">
        <x:f>IF(COUNT(H381,J381)=0,"",AVERAGE(H381,J381))</x:f>
      </x:c>
      <x:c r="M381" s="16" t="str">
        <x:f>IF(OR(K381="",L381=""),"",L381-K381)</x:f>
      </x:c>
      <x:c r="N381" s="16" t="str">
        <x:f>IF(AND(A381=A380,ISNUMBER(K381),ISNUMBER(K380)),K381-K380,"")</x:f>
      </x:c>
      <x:c r="O381" s="13" t="str">
        <x:v>Sem informação</x:v>
      </x:c>
      <x:c r="P381" s="26"/>
      <x:c r="Q381" s="13"/>
      <x:c r="R381" s="13"/>
      <x:c r="S381" s="13"/>
      <x:c r="T381" s="13"/>
    </x:row>
    <x:row r="382">
      <x:c r="A382" s="13" t="str">
        <x:v>Igor Jesus</x:v>
      </x:c>
      <x:c r="B382" s="13" t="n">
        <x:v>2026</x:v>
      </x:c>
      <x:c r="C382" s="13" t="str">
        <x:v>T1</x:v>
      </x:c>
      <x:c r="D382" s="24" t="n">
        <x:v>46112</x:v>
      </x:c>
      <x:c r="E382" s="13" t="str">
        <x:v>Centroavante</x:v>
      </x:c>
      <x:c r="F382" s="13" t="str">
        <x:v>Nottingham Forest</x:v>
      </x:c>
      <x:c r="G382" s="16"/>
      <x:c r="H382" s="16"/>
      <x:c r="I382" s="16"/>
      <x:c r="J382" s="16"/>
      <x:c r="K382" s="16" t="str">
        <x:f>IF(COUNT(G382,I382)=0,"",AVERAGE(G382,I382))</x:f>
      </x:c>
      <x:c r="L382" s="16" t="str">
        <x:f>IF(COUNT(H382,J382)=0,"",AVERAGE(H382,J382))</x:f>
      </x:c>
      <x:c r="M382" s="16" t="str">
        <x:f>IF(OR(K382="",L382=""),"",L382-K382)</x:f>
      </x:c>
      <x:c r="N382" s="16" t="str">
        <x:f>IF(AND(A382=A381,ISNUMBER(K382),ISNUMBER(K381)),K382-K381,"")</x:f>
      </x:c>
      <x:c r="O382" s="13" t="str">
        <x:v>Sem informação</x:v>
      </x:c>
      <x:c r="P382" s="26"/>
      <x:c r="Q382" s="13"/>
      <x:c r="R382" s="13"/>
      <x:c r="S382" s="13"/>
      <x:c r="T382" s="13"/>
    </x:row>
    <x:row r="383">
      <x:c r="A383" s="13" t="str">
        <x:v>Igor Jesus</x:v>
      </x:c>
      <x:c r="B383" s="13" t="n">
        <x:v>2026</x:v>
      </x:c>
      <x:c r="C383" s="13" t="str">
        <x:v>T2</x:v>
      </x:c>
      <x:c r="D383" s="24" t="n">
        <x:v>46203</x:v>
      </x:c>
      <x:c r="E383" s="13" t="str">
        <x:v>Centroavante</x:v>
      </x:c>
      <x:c r="F383" s="13" t="str">
        <x:v>Nottingham Forest</x:v>
      </x:c>
      <x:c r="G383" s="16"/>
      <x:c r="H383" s="16"/>
      <x:c r="I383" s="16"/>
      <x:c r="J383" s="16"/>
      <x:c r="K383" s="16" t="str">
        <x:f>IF(COUNT(G383,I383)=0,"",AVERAGE(G383,I383))</x:f>
      </x:c>
      <x:c r="L383" s="16" t="str">
        <x:f>IF(COUNT(H383,J383)=0,"",AVERAGE(H383,J383))</x:f>
      </x:c>
      <x:c r="M383" s="16" t="str">
        <x:f>IF(OR(K383="",L383=""),"",L383-K383)</x:f>
      </x:c>
      <x:c r="N383" s="16" t="str">
        <x:f>IF(AND(A383=A382,ISNUMBER(K383),ISNUMBER(K382)),K383-K382,"")</x:f>
      </x:c>
      <x:c r="O383" s="13" t="str">
        <x:v>Sem informação</x:v>
      </x:c>
      <x:c r="P383" s="26"/>
      <x:c r="Q383" s="13"/>
      <x:c r="R383" s="13"/>
      <x:c r="S383" s="13"/>
      <x:c r="T383" s="13"/>
    </x:row>
    <x:row r="384">
      <x:c r="A384" s="13" t="str">
        <x:v>Igor Jesus</x:v>
      </x:c>
      <x:c r="B384" s="13" t="n">
        <x:v>2026</x:v>
      </x:c>
      <x:c r="C384" s="13" t="str">
        <x:v>T3</x:v>
      </x:c>
      <x:c r="D384" s="24" t="n">
        <x:v>46295</x:v>
      </x:c>
      <x:c r="E384" s="13" t="str">
        <x:v>Centroavante</x:v>
      </x:c>
      <x:c r="F384" s="13" t="str">
        <x:v>Nottingham Forest</x:v>
      </x:c>
      <x:c r="G384" s="16"/>
      <x:c r="H384" s="16"/>
      <x:c r="I384" s="16"/>
      <x:c r="J384" s="16"/>
      <x:c r="K384" s="16" t="str">
        <x:f>IF(COUNT(G384,I384)=0,"",AVERAGE(G384,I384))</x:f>
      </x:c>
      <x:c r="L384" s="16" t="str">
        <x:f>IF(COUNT(H384,J384)=0,"",AVERAGE(H384,J384))</x:f>
      </x:c>
      <x:c r="M384" s="16" t="str">
        <x:f>IF(OR(K384="",L384=""),"",L384-K384)</x:f>
      </x:c>
      <x:c r="N384" s="16" t="str">
        <x:f>IF(AND(A384=A383,ISNUMBER(K384),ISNUMBER(K383)),K384-K383,"")</x:f>
      </x:c>
      <x:c r="O384" s="13" t="str">
        <x:v>Sem informação</x:v>
      </x:c>
      <x:c r="P384" s="26"/>
      <x:c r="Q384" s="13"/>
      <x:c r="R384" s="13"/>
      <x:c r="S384" s="13"/>
      <x:c r="T384" s="13"/>
    </x:row>
    <x:row r="385">
      <x:c r="A385" s="13" t="str">
        <x:v>Igor Jesus</x:v>
      </x:c>
      <x:c r="B385" s="13" t="n">
        <x:v>2026</x:v>
      </x:c>
      <x:c r="C385" s="13" t="str">
        <x:v>T4</x:v>
      </x:c>
      <x:c r="D385" s="24" t="n">
        <x:v>46387</x:v>
      </x:c>
      <x:c r="E385" s="13" t="str">
        <x:v>Centroavante</x:v>
      </x:c>
      <x:c r="F385" s="13" t="str">
        <x:v>Nottingham Forest</x:v>
      </x:c>
      <x:c r="G385" s="16"/>
      <x:c r="H385" s="16"/>
      <x:c r="I385" s="16"/>
      <x:c r="J385" s="16"/>
      <x:c r="K385" s="16" t="str">
        <x:f>IF(COUNT(G385,I385)=0,"",AVERAGE(G385,I385))</x:f>
      </x:c>
      <x:c r="L385" s="16" t="str">
        <x:f>IF(COUNT(H385,J385)=0,"",AVERAGE(H385,J385))</x:f>
      </x:c>
      <x:c r="M385" s="16" t="str">
        <x:f>IF(OR(K385="",L385=""),"",L385-K385)</x:f>
      </x:c>
      <x:c r="N385" s="16" t="str">
        <x:f>IF(AND(A385=A384,ISNUMBER(K385),ISNUMBER(K384)),K385-K384,"")</x:f>
      </x:c>
      <x:c r="O385" s="13" t="str">
        <x:v>Sem informação</x:v>
      </x:c>
      <x:c r="P385" s="26"/>
      <x:c r="Q385" s="13"/>
      <x:c r="R385" s="13"/>
      <x:c r="S385" s="13"/>
      <x:c r="T385" s="13"/>
    </x:row>
    <x:row r="386">
      <x:c r="A386" s="13" t="str">
        <x:v>Igor Jesus</x:v>
      </x:c>
      <x:c r="B386" s="13" t="n">
        <x:v>2027</x:v>
      </x:c>
      <x:c r="C386" s="13" t="str">
        <x:v>T1</x:v>
      </x:c>
      <x:c r="D386" s="24" t="n">
        <x:v>46477</x:v>
      </x:c>
      <x:c r="E386" s="13" t="str">
        <x:v>Centroavante</x:v>
      </x:c>
      <x:c r="F386" s="13" t="str">
        <x:v>Nottingham Forest</x:v>
      </x:c>
      <x:c r="G386" s="16"/>
      <x:c r="H386" s="16"/>
      <x:c r="I386" s="16"/>
      <x:c r="J386" s="16"/>
      <x:c r="K386" s="16" t="str">
        <x:f>IF(COUNT(G386,I386)=0,"",AVERAGE(G386,I386))</x:f>
      </x:c>
      <x:c r="L386" s="16" t="str">
        <x:f>IF(COUNT(H386,J386)=0,"",AVERAGE(H386,J386))</x:f>
      </x:c>
      <x:c r="M386" s="16" t="str">
        <x:f>IF(OR(K386="",L386=""),"",L386-K386)</x:f>
      </x:c>
      <x:c r="N386" s="16" t="str">
        <x:f>IF(AND(A386=A385,ISNUMBER(K386),ISNUMBER(K385)),K386-K385,"")</x:f>
      </x:c>
      <x:c r="O386" s="13" t="str">
        <x:v>Sem informação</x:v>
      </x:c>
      <x:c r="P386" s="26"/>
      <x:c r="Q386" s="13"/>
      <x:c r="R386" s="13"/>
      <x:c r="S386" s="13"/>
      <x:c r="T386" s="13"/>
    </x:row>
    <x:row r="387">
      <x:c r="A387" s="13" t="str">
        <x:v>Igor Jesus</x:v>
      </x:c>
      <x:c r="B387" s="13" t="n">
        <x:v>2027</x:v>
      </x:c>
      <x:c r="C387" s="13" t="str">
        <x:v>T2</x:v>
      </x:c>
      <x:c r="D387" s="24" t="n">
        <x:v>46568</x:v>
      </x:c>
      <x:c r="E387" s="13" t="str">
        <x:v>Centroavante</x:v>
      </x:c>
      <x:c r="F387" s="13" t="str">
        <x:v>Nottingham Forest</x:v>
      </x:c>
      <x:c r="G387" s="16"/>
      <x:c r="H387" s="16"/>
      <x:c r="I387" s="16"/>
      <x:c r="J387" s="16"/>
      <x:c r="K387" s="16" t="str">
        <x:f>IF(COUNT(G387,I387)=0,"",AVERAGE(G387,I387))</x:f>
      </x:c>
      <x:c r="L387" s="16" t="str">
        <x:f>IF(COUNT(H387,J387)=0,"",AVERAGE(H387,J387))</x:f>
      </x:c>
      <x:c r="M387" s="16" t="str">
        <x:f>IF(OR(K387="",L387=""),"",L387-K387)</x:f>
      </x:c>
      <x:c r="N387" s="16" t="str">
        <x:f>IF(AND(A387=A386,ISNUMBER(K387),ISNUMBER(K386)),K387-K386,"")</x:f>
      </x:c>
      <x:c r="O387" s="13" t="str">
        <x:v>Sem informação</x:v>
      </x:c>
      <x:c r="P387" s="26"/>
      <x:c r="Q387" s="13"/>
      <x:c r="R387" s="13"/>
      <x:c r="S387" s="13"/>
      <x:c r="T387" s="13"/>
    </x:row>
    <x:row r="388">
      <x:c r="A388" s="13" t="str">
        <x:v>Igor Jesus</x:v>
      </x:c>
      <x:c r="B388" s="13" t="n">
        <x:v>2027</x:v>
      </x:c>
      <x:c r="C388" s="13" t="str">
        <x:v>T3</x:v>
      </x:c>
      <x:c r="D388" s="24" t="n">
        <x:v>46660</x:v>
      </x:c>
      <x:c r="E388" s="13" t="str">
        <x:v>Centroavante</x:v>
      </x:c>
      <x:c r="F388" s="13" t="str">
        <x:v>Nottingham Forest</x:v>
      </x:c>
      <x:c r="G388" s="16"/>
      <x:c r="H388" s="16"/>
      <x:c r="I388" s="16"/>
      <x:c r="J388" s="16"/>
      <x:c r="K388" s="16" t="str">
        <x:f>IF(COUNT(G388,I388)=0,"",AVERAGE(G388,I388))</x:f>
      </x:c>
      <x:c r="L388" s="16" t="str">
        <x:f>IF(COUNT(H388,J388)=0,"",AVERAGE(H388,J388))</x:f>
      </x:c>
      <x:c r="M388" s="16" t="str">
        <x:f>IF(OR(K388="",L388=""),"",L388-K388)</x:f>
      </x:c>
      <x:c r="N388" s="16" t="str">
        <x:f>IF(AND(A388=A387,ISNUMBER(K388),ISNUMBER(K387)),K388-K387,"")</x:f>
      </x:c>
      <x:c r="O388" s="13" t="str">
        <x:v>Sem informação</x:v>
      </x:c>
      <x:c r="P388" s="26"/>
      <x:c r="Q388" s="13"/>
      <x:c r="R388" s="13"/>
      <x:c r="S388" s="13"/>
      <x:c r="T388" s="13"/>
    </x:row>
    <x:row r="389">
      <x:c r="A389" s="13" t="str">
        <x:v>Igor Jesus</x:v>
      </x:c>
      <x:c r="B389" s="13" t="n">
        <x:v>2027</x:v>
      </x:c>
      <x:c r="C389" s="13" t="str">
        <x:v>T4</x:v>
      </x:c>
      <x:c r="D389" s="24" t="n">
        <x:v>46752</x:v>
      </x:c>
      <x:c r="E389" s="13" t="str">
        <x:v>Centroavante</x:v>
      </x:c>
      <x:c r="F389" s="13" t="str">
        <x:v>Nottingham Forest</x:v>
      </x:c>
      <x:c r="G389" s="16"/>
      <x:c r="H389" s="16"/>
      <x:c r="I389" s="16"/>
      <x:c r="J389" s="16"/>
      <x:c r="K389" s="16" t="str">
        <x:f>IF(COUNT(G389,I389)=0,"",AVERAGE(G389,I389))</x:f>
      </x:c>
      <x:c r="L389" s="16" t="str">
        <x:f>IF(COUNT(H389,J389)=0,"",AVERAGE(H389,J389))</x:f>
      </x:c>
      <x:c r="M389" s="16" t="str">
        <x:f>IF(OR(K389="",L389=""),"",L389-K389)</x:f>
      </x:c>
      <x:c r="N389" s="16" t="str">
        <x:f>IF(AND(A389=A388,ISNUMBER(K389),ISNUMBER(K388)),K389-K388,"")</x:f>
      </x:c>
      <x:c r="O389" s="13" t="str">
        <x:v>Sem informação</x:v>
      </x:c>
      <x:c r="P389" s="26"/>
      <x:c r="Q389" s="13"/>
      <x:c r="R389" s="13"/>
      <x:c r="S389" s="13"/>
      <x:c r="T389" s="13"/>
    </x:row>
    <x:row r="390">
      <x:c r="A390" s="13" t="str">
        <x:v>Igor Jesus</x:v>
      </x:c>
      <x:c r="B390" s="13" t="n">
        <x:v>2028</x:v>
      </x:c>
      <x:c r="C390" s="13" t="str">
        <x:v>T1</x:v>
      </x:c>
      <x:c r="D390" s="24" t="n">
        <x:v>46843</x:v>
      </x:c>
      <x:c r="E390" s="13" t="str">
        <x:v>Centroavante</x:v>
      </x:c>
      <x:c r="F390" s="13" t="str">
        <x:v>Nottingham Forest</x:v>
      </x:c>
      <x:c r="G390" s="16"/>
      <x:c r="H390" s="16"/>
      <x:c r="I390" s="16"/>
      <x:c r="J390" s="16"/>
      <x:c r="K390" s="16" t="str">
        <x:f>IF(COUNT(G390,I390)=0,"",AVERAGE(G390,I390))</x:f>
      </x:c>
      <x:c r="L390" s="16" t="str">
        <x:f>IF(COUNT(H390,J390)=0,"",AVERAGE(H390,J390))</x:f>
      </x:c>
      <x:c r="M390" s="16" t="str">
        <x:f>IF(OR(K390="",L390=""),"",L390-K390)</x:f>
      </x:c>
      <x:c r="N390" s="16" t="str">
        <x:f>IF(AND(A390=A389,ISNUMBER(K390),ISNUMBER(K389)),K390-K389,"")</x:f>
      </x:c>
      <x:c r="O390" s="13" t="str">
        <x:v>Sem informação</x:v>
      </x:c>
      <x:c r="P390" s="26"/>
      <x:c r="Q390" s="13"/>
      <x:c r="R390" s="13"/>
      <x:c r="S390" s="13"/>
      <x:c r="T390" s="13"/>
    </x:row>
    <x:row r="391">
      <x:c r="A391" s="13" t="str">
        <x:v>Igor Jesus</x:v>
      </x:c>
      <x:c r="B391" s="13" t="n">
        <x:v>2028</x:v>
      </x:c>
      <x:c r="C391" s="13" t="str">
        <x:v>T2</x:v>
      </x:c>
      <x:c r="D391" s="24" t="n">
        <x:v>46934</x:v>
      </x:c>
      <x:c r="E391" s="13" t="str">
        <x:v>Centroavante</x:v>
      </x:c>
      <x:c r="F391" s="13" t="str">
        <x:v>Nottingham Forest</x:v>
      </x:c>
      <x:c r="G391" s="16"/>
      <x:c r="H391" s="16"/>
      <x:c r="I391" s="16"/>
      <x:c r="J391" s="16"/>
      <x:c r="K391" s="16" t="str">
        <x:f>IF(COUNT(G391,I391)=0,"",AVERAGE(G391,I391))</x:f>
      </x:c>
      <x:c r="L391" s="16" t="str">
        <x:f>IF(COUNT(H391,J391)=0,"",AVERAGE(H391,J391))</x:f>
      </x:c>
      <x:c r="M391" s="16" t="str">
        <x:f>IF(OR(K391="",L391=""),"",L391-K391)</x:f>
      </x:c>
      <x:c r="N391" s="16" t="str">
        <x:f>IF(AND(A391=A390,ISNUMBER(K391),ISNUMBER(K390)),K391-K390,"")</x:f>
      </x:c>
      <x:c r="O391" s="13" t="str">
        <x:v>Sem informação</x:v>
      </x:c>
      <x:c r="P391" s="26"/>
      <x:c r="Q391" s="13"/>
      <x:c r="R391" s="13"/>
      <x:c r="S391" s="13"/>
      <x:c r="T391" s="13"/>
    </x:row>
    <x:row r="392">
      <x:c r="A392" s="13" t="str">
        <x:v>Igor Jesus</x:v>
      </x:c>
      <x:c r="B392" s="13" t="n">
        <x:v>2028</x:v>
      </x:c>
      <x:c r="C392" s="13" t="str">
        <x:v>T3</x:v>
      </x:c>
      <x:c r="D392" s="24" t="n">
        <x:v>47026</x:v>
      </x:c>
      <x:c r="E392" s="13" t="str">
        <x:v>Centroavante</x:v>
      </x:c>
      <x:c r="F392" s="13" t="str">
        <x:v>Nottingham Forest</x:v>
      </x:c>
      <x:c r="G392" s="16"/>
      <x:c r="H392" s="16"/>
      <x:c r="I392" s="16"/>
      <x:c r="J392" s="16"/>
      <x:c r="K392" s="16" t="str">
        <x:f>IF(COUNT(G392,I392)=0,"",AVERAGE(G392,I392))</x:f>
      </x:c>
      <x:c r="L392" s="16" t="str">
        <x:f>IF(COUNT(H392,J392)=0,"",AVERAGE(H392,J392))</x:f>
      </x:c>
      <x:c r="M392" s="16" t="str">
        <x:f>IF(OR(K392="",L392=""),"",L392-K392)</x:f>
      </x:c>
      <x:c r="N392" s="16" t="str">
        <x:f>IF(AND(A392=A391,ISNUMBER(K392),ISNUMBER(K391)),K392-K391,"")</x:f>
      </x:c>
      <x:c r="O392" s="13" t="str">
        <x:v>Sem informação</x:v>
      </x:c>
      <x:c r="P392" s="26"/>
      <x:c r="Q392" s="13"/>
      <x:c r="R392" s="13"/>
      <x:c r="S392" s="13"/>
      <x:c r="T392" s="13"/>
    </x:row>
    <x:row r="393">
      <x:c r="A393" s="13" t="str">
        <x:v>Igor Jesus</x:v>
      </x:c>
      <x:c r="B393" s="13" t="n">
        <x:v>2028</x:v>
      </x:c>
      <x:c r="C393" s="13" t="str">
        <x:v>T4</x:v>
      </x:c>
      <x:c r="D393" s="24" t="n">
        <x:v>47118</x:v>
      </x:c>
      <x:c r="E393" s="13" t="str">
        <x:v>Centroavante</x:v>
      </x:c>
      <x:c r="F393" s="13" t="str">
        <x:v>Nottingham Forest</x:v>
      </x:c>
      <x:c r="G393" s="16"/>
      <x:c r="H393" s="16"/>
      <x:c r="I393" s="16"/>
      <x:c r="J393" s="16"/>
      <x:c r="K393" s="16" t="str">
        <x:f>IF(COUNT(G393,I393)=0,"",AVERAGE(G393,I393))</x:f>
      </x:c>
      <x:c r="L393" s="16" t="str">
        <x:f>IF(COUNT(H393,J393)=0,"",AVERAGE(H393,J393))</x:f>
      </x:c>
      <x:c r="M393" s="16" t="str">
        <x:f>IF(OR(K393="",L393=""),"",L393-K393)</x:f>
      </x:c>
      <x:c r="N393" s="16" t="str">
        <x:f>IF(AND(A393=A392,ISNUMBER(K393),ISNUMBER(K392)),K393-K392,"")</x:f>
      </x:c>
      <x:c r="O393" s="13" t="str">
        <x:v>Sem informação</x:v>
      </x:c>
      <x:c r="P393" s="26"/>
      <x:c r="Q393" s="13"/>
      <x:c r="R393" s="13"/>
      <x:c r="S393" s="13"/>
      <x:c r="T393" s="13"/>
    </x:row>
    <x:row r="394">
      <x:c r="A394" s="13" t="str">
        <x:v>Igor Jesus</x:v>
      </x:c>
      <x:c r="B394" s="13" t="n">
        <x:v>2029</x:v>
      </x:c>
      <x:c r="C394" s="13" t="str">
        <x:v>T1</x:v>
      </x:c>
      <x:c r="D394" s="24" t="n">
        <x:v>47208</x:v>
      </x:c>
      <x:c r="E394" s="13" t="str">
        <x:v>Centroavante</x:v>
      </x:c>
      <x:c r="F394" s="13" t="str">
        <x:v>Nottingham Forest</x:v>
      </x:c>
      <x:c r="G394" s="16"/>
      <x:c r="H394" s="16"/>
      <x:c r="I394" s="16"/>
      <x:c r="J394" s="16"/>
      <x:c r="K394" s="16" t="str">
        <x:f>IF(COUNT(G394,I394)=0,"",AVERAGE(G394,I394))</x:f>
      </x:c>
      <x:c r="L394" s="16" t="str">
        <x:f>IF(COUNT(H394,J394)=0,"",AVERAGE(H394,J394))</x:f>
      </x:c>
      <x:c r="M394" s="16" t="str">
        <x:f>IF(OR(K394="",L394=""),"",L394-K394)</x:f>
      </x:c>
      <x:c r="N394" s="16" t="str">
        <x:f>IF(AND(A394=A393,ISNUMBER(K394),ISNUMBER(K393)),K394-K393,"")</x:f>
      </x:c>
      <x:c r="O394" s="13" t="str">
        <x:v>Sem informação</x:v>
      </x:c>
      <x:c r="P394" s="26"/>
      <x:c r="Q394" s="13"/>
      <x:c r="R394" s="13"/>
      <x:c r="S394" s="13"/>
      <x:c r="T394" s="13"/>
    </x:row>
    <x:row r="395">
      <x:c r="A395" s="13" t="str">
        <x:v>Igor Jesus</x:v>
      </x:c>
      <x:c r="B395" s="13" t="n">
        <x:v>2029</x:v>
      </x:c>
      <x:c r="C395" s="13" t="str">
        <x:v>T2</x:v>
      </x:c>
      <x:c r="D395" s="24" t="n">
        <x:v>47299</x:v>
      </x:c>
      <x:c r="E395" s="13" t="str">
        <x:v>Centroavante</x:v>
      </x:c>
      <x:c r="F395" s="13" t="str">
        <x:v>Nottingham Forest</x:v>
      </x:c>
      <x:c r="G395" s="16"/>
      <x:c r="H395" s="16"/>
      <x:c r="I395" s="16"/>
      <x:c r="J395" s="16"/>
      <x:c r="K395" s="16" t="str">
        <x:f>IF(COUNT(G395,I395)=0,"",AVERAGE(G395,I395))</x:f>
      </x:c>
      <x:c r="L395" s="16" t="str">
        <x:f>IF(COUNT(H395,J395)=0,"",AVERAGE(H395,J395))</x:f>
      </x:c>
      <x:c r="M395" s="16" t="str">
        <x:f>IF(OR(K395="",L395=""),"",L395-K395)</x:f>
      </x:c>
      <x:c r="N395" s="16" t="str">
        <x:f>IF(AND(A395=A394,ISNUMBER(K395),ISNUMBER(K394)),K395-K394,"")</x:f>
      </x:c>
      <x:c r="O395" s="13" t="str">
        <x:v>Sem informação</x:v>
      </x:c>
      <x:c r="P395" s="26"/>
      <x:c r="Q395" s="13"/>
      <x:c r="R395" s="13"/>
      <x:c r="S395" s="13"/>
      <x:c r="T395" s="13"/>
    </x:row>
    <x:row r="396">
      <x:c r="A396" s="13" t="str">
        <x:v>Igor Jesus</x:v>
      </x:c>
      <x:c r="B396" s="13" t="n">
        <x:v>2029</x:v>
      </x:c>
      <x:c r="C396" s="13" t="str">
        <x:v>T3</x:v>
      </x:c>
      <x:c r="D396" s="24" t="n">
        <x:v>47391</x:v>
      </x:c>
      <x:c r="E396" s="13" t="str">
        <x:v>Centroavante</x:v>
      </x:c>
      <x:c r="F396" s="13" t="str">
        <x:v>Nottingham Forest</x:v>
      </x:c>
      <x:c r="G396" s="16"/>
      <x:c r="H396" s="16"/>
      <x:c r="I396" s="16"/>
      <x:c r="J396" s="16"/>
      <x:c r="K396" s="16" t="str">
        <x:f>IF(COUNT(G396,I396)=0,"",AVERAGE(G396,I396))</x:f>
      </x:c>
      <x:c r="L396" s="16" t="str">
        <x:f>IF(COUNT(H396,J396)=0,"",AVERAGE(H396,J396))</x:f>
      </x:c>
      <x:c r="M396" s="16" t="str">
        <x:f>IF(OR(K396="",L396=""),"",L396-K396)</x:f>
      </x:c>
      <x:c r="N396" s="16" t="str">
        <x:f>IF(AND(A396=A395,ISNUMBER(K396),ISNUMBER(K395)),K396-K395,"")</x:f>
      </x:c>
      <x:c r="O396" s="13" t="str">
        <x:v>Sem informação</x:v>
      </x:c>
      <x:c r="P396" s="26"/>
      <x:c r="Q396" s="13"/>
      <x:c r="R396" s="13"/>
      <x:c r="S396" s="13"/>
      <x:c r="T396" s="13"/>
    </x:row>
    <x:row r="397">
      <x:c r="A397" s="13" t="str">
        <x:v>Igor Jesus</x:v>
      </x:c>
      <x:c r="B397" s="13" t="n">
        <x:v>2029</x:v>
      </x:c>
      <x:c r="C397" s="13" t="str">
        <x:v>T4</x:v>
      </x:c>
      <x:c r="D397" s="24" t="n">
        <x:v>47483</x:v>
      </x:c>
      <x:c r="E397" s="13" t="str">
        <x:v>Centroavante</x:v>
      </x:c>
      <x:c r="F397" s="13" t="str">
        <x:v>Nottingham Forest</x:v>
      </x:c>
      <x:c r="G397" s="16"/>
      <x:c r="H397" s="16"/>
      <x:c r="I397" s="16"/>
      <x:c r="J397" s="16"/>
      <x:c r="K397" s="16" t="str">
        <x:f>IF(COUNT(G397,I397)=0,"",AVERAGE(G397,I397))</x:f>
      </x:c>
      <x:c r="L397" s="16" t="str">
        <x:f>IF(COUNT(H397,J397)=0,"",AVERAGE(H397,J397))</x:f>
      </x:c>
      <x:c r="M397" s="16" t="str">
        <x:f>IF(OR(K397="",L397=""),"",L397-K397)</x:f>
      </x:c>
      <x:c r="N397" s="16" t="str">
        <x:f>IF(AND(A397=A396,ISNUMBER(K397),ISNUMBER(K396)),K397-K396,"")</x:f>
      </x:c>
      <x:c r="O397" s="13" t="str">
        <x:v>Sem informação</x:v>
      </x:c>
      <x:c r="P397" s="26"/>
      <x:c r="Q397" s="13"/>
      <x:c r="R397" s="13"/>
      <x:c r="S397" s="13"/>
      <x:c r="T397" s="13"/>
    </x:row>
    <x:row r="398">
      <x:c r="A398" s="13" t="str">
        <x:v>Igor Jesus</x:v>
      </x:c>
      <x:c r="B398" s="13" t="n">
        <x:v>2030</x:v>
      </x:c>
      <x:c r="C398" s="13" t="str">
        <x:v>T1</x:v>
      </x:c>
      <x:c r="D398" s="24" t="n">
        <x:v>47573</x:v>
      </x:c>
      <x:c r="E398" s="13" t="str">
        <x:v>Centroavante</x:v>
      </x:c>
      <x:c r="F398" s="13" t="str">
        <x:v>Nottingham Forest</x:v>
      </x:c>
      <x:c r="G398" s="16"/>
      <x:c r="H398" s="16"/>
      <x:c r="I398" s="16"/>
      <x:c r="J398" s="16"/>
      <x:c r="K398" s="16" t="str">
        <x:f>IF(COUNT(G398,I398)=0,"",AVERAGE(G398,I398))</x:f>
      </x:c>
      <x:c r="L398" s="16" t="str">
        <x:f>IF(COUNT(H398,J398)=0,"",AVERAGE(H398,J398))</x:f>
      </x:c>
      <x:c r="M398" s="16" t="str">
        <x:f>IF(OR(K398="",L398=""),"",L398-K398)</x:f>
      </x:c>
      <x:c r="N398" s="16" t="str">
        <x:f>IF(AND(A398=A397,ISNUMBER(K398),ISNUMBER(K397)),K398-K397,"")</x:f>
      </x:c>
      <x:c r="O398" s="13" t="str">
        <x:v>Sem informação</x:v>
      </x:c>
      <x:c r="P398" s="26"/>
      <x:c r="Q398" s="13"/>
      <x:c r="R398" s="13"/>
      <x:c r="S398" s="13"/>
      <x:c r="T398" s="13"/>
    </x:row>
    <x:row r="399">
      <x:c r="A399" s="13" t="str">
        <x:v>Igor Jesus</x:v>
      </x:c>
      <x:c r="B399" s="13" t="n">
        <x:v>2030</x:v>
      </x:c>
      <x:c r="C399" s="13" t="str">
        <x:v>T2</x:v>
      </x:c>
      <x:c r="D399" s="24" t="n">
        <x:v>47664</x:v>
      </x:c>
      <x:c r="E399" s="13" t="str">
        <x:v>Centroavante</x:v>
      </x:c>
      <x:c r="F399" s="13" t="str">
        <x:v>Nottingham Forest</x:v>
      </x:c>
      <x:c r="G399" s="16"/>
      <x:c r="H399" s="16"/>
      <x:c r="I399" s="16"/>
      <x:c r="J399" s="16"/>
      <x:c r="K399" s="16" t="str">
        <x:f>IF(COUNT(G399,I399)=0,"",AVERAGE(G399,I399))</x:f>
      </x:c>
      <x:c r="L399" s="16" t="str">
        <x:f>IF(COUNT(H399,J399)=0,"",AVERAGE(H399,J399))</x:f>
      </x:c>
      <x:c r="M399" s="16" t="str">
        <x:f>IF(OR(K399="",L399=""),"",L399-K399)</x:f>
      </x:c>
      <x:c r="N399" s="16" t="str">
        <x:f>IF(AND(A399=A398,ISNUMBER(K399),ISNUMBER(K398)),K399-K398,"")</x:f>
      </x:c>
      <x:c r="O399" s="13" t="str">
        <x:v>Sem informação</x:v>
      </x:c>
      <x:c r="P399" s="26"/>
      <x:c r="Q399" s="13"/>
      <x:c r="R399" s="13"/>
      <x:c r="S399" s="13"/>
      <x:c r="T399" s="13"/>
    </x:row>
    <x:row r="400">
      <x:c r="A400" s="13" t="str">
        <x:v>Igor Jesus</x:v>
      </x:c>
      <x:c r="B400" s="13" t="n">
        <x:v>2030</x:v>
      </x:c>
      <x:c r="C400" s="13" t="str">
        <x:v>T3</x:v>
      </x:c>
      <x:c r="D400" s="24" t="n">
        <x:v>47756</x:v>
      </x:c>
      <x:c r="E400" s="13" t="str">
        <x:v>Centroavante</x:v>
      </x:c>
      <x:c r="F400" s="13" t="str">
        <x:v>Nottingham Forest</x:v>
      </x:c>
      <x:c r="G400" s="16"/>
      <x:c r="H400" s="16"/>
      <x:c r="I400" s="16"/>
      <x:c r="J400" s="16"/>
      <x:c r="K400" s="16" t="str">
        <x:f>IF(COUNT(G400,I400)=0,"",AVERAGE(G400,I400))</x:f>
      </x:c>
      <x:c r="L400" s="16" t="str">
        <x:f>IF(COUNT(H400,J400)=0,"",AVERAGE(H400,J400))</x:f>
      </x:c>
      <x:c r="M400" s="16" t="str">
        <x:f>IF(OR(K400="",L400=""),"",L400-K400)</x:f>
      </x:c>
      <x:c r="N400" s="16" t="str">
        <x:f>IF(AND(A400=A399,ISNUMBER(K400),ISNUMBER(K399)),K400-K399,"")</x:f>
      </x:c>
      <x:c r="O400" s="13" t="str">
        <x:v>Sem informação</x:v>
      </x:c>
      <x:c r="P400" s="26"/>
      <x:c r="Q400" s="13"/>
      <x:c r="R400" s="13"/>
      <x:c r="S400" s="13"/>
      <x:c r="T400" s="13"/>
    </x:row>
    <x:row r="401">
      <x:c r="A401" s="13" t="str">
        <x:v>Igor Jesus</x:v>
      </x:c>
      <x:c r="B401" s="13" t="n">
        <x:v>2030</x:v>
      </x:c>
      <x:c r="C401" s="13" t="str">
        <x:v>T4</x:v>
      </x:c>
      <x:c r="D401" s="24" t="n">
        <x:v>47848</x:v>
      </x:c>
      <x:c r="E401" s="13" t="str">
        <x:v>Centroavante</x:v>
      </x:c>
      <x:c r="F401" s="13" t="str">
        <x:v>Nottingham Forest</x:v>
      </x:c>
      <x:c r="G401" s="16"/>
      <x:c r="H401" s="16"/>
      <x:c r="I401" s="16"/>
      <x:c r="J401" s="16"/>
      <x:c r="K401" s="16" t="str">
        <x:f>IF(COUNT(G401,I401)=0,"",AVERAGE(G401,I401))</x:f>
      </x:c>
      <x:c r="L401" s="16" t="str">
        <x:f>IF(COUNT(H401,J401)=0,"",AVERAGE(H401,J401))</x:f>
      </x:c>
      <x:c r="M401" s="16" t="str">
        <x:f>IF(OR(K401="",L401=""),"",L401-K401)</x:f>
      </x:c>
      <x:c r="N401" s="16" t="str">
        <x:f>IF(AND(A401=A400,ISNUMBER(K401),ISNUMBER(K400)),K401-K400,"")</x:f>
      </x:c>
      <x:c r="O401" s="13" t="str">
        <x:v>Sem informação</x:v>
      </x:c>
      <x:c r="P401" s="26"/>
      <x:c r="Q401" s="13"/>
      <x:c r="R401" s="13"/>
      <x:c r="S401" s="13"/>
      <x:c r="T401" s="13"/>
    </x:row>
    <x:row r="402">
      <x:c r="A402" s="13" t="str">
        <x:v>Jhuan</x:v>
      </x:c>
      <x:c r="B402" s="13" t="n">
        <x:v>2026</x:v>
      </x:c>
      <x:c r="C402" s="13" t="str">
        <x:v>T1</x:v>
      </x:c>
      <x:c r="D402" s="24" t="n">
        <x:v>46112</x:v>
      </x:c>
      <x:c r="E402" s="13" t="str">
        <x:v>Ponta-direita</x:v>
      </x:c>
      <x:c r="F402" s="13" t="str">
        <x:v>RB Bragantino Sub-20</x:v>
      </x:c>
      <x:c r="G402" s="16"/>
      <x:c r="H402" s="16"/>
      <x:c r="I402" s="16"/>
      <x:c r="J402" s="16"/>
      <x:c r="K402" s="16" t="str">
        <x:f>IF(COUNT(G402,I402)=0,"",AVERAGE(G402,I402))</x:f>
      </x:c>
      <x:c r="L402" s="16" t="str">
        <x:f>IF(COUNT(H402,J402)=0,"",AVERAGE(H402,J402))</x:f>
      </x:c>
      <x:c r="M402" s="16" t="str">
        <x:f>IF(OR(K402="",L402=""),"",L402-K402)</x:f>
      </x:c>
      <x:c r="N402" s="16" t="str">
        <x:f>IF(AND(A402=A401,ISNUMBER(K402),ISNUMBER(K401)),K402-K401,"")</x:f>
      </x:c>
      <x:c r="O402" s="13" t="str">
        <x:v>Sem informação</x:v>
      </x:c>
      <x:c r="P402" s="26"/>
      <x:c r="Q402" s="13"/>
      <x:c r="R402" s="13"/>
      <x:c r="S402" s="13"/>
      <x:c r="T402" s="13"/>
    </x:row>
    <x:row r="403">
      <x:c r="A403" s="13" t="str">
        <x:v>Jhuan</x:v>
      </x:c>
      <x:c r="B403" s="13" t="n">
        <x:v>2026</x:v>
      </x:c>
      <x:c r="C403" s="13" t="str">
        <x:v>T2</x:v>
      </x:c>
      <x:c r="D403" s="24" t="n">
        <x:v>46203</x:v>
      </x:c>
      <x:c r="E403" s="13" t="str">
        <x:v>Ponta-direita</x:v>
      </x:c>
      <x:c r="F403" s="13" t="str">
        <x:v>RB Bragantino Sub-20</x:v>
      </x:c>
      <x:c r="G403" s="16"/>
      <x:c r="H403" s="16"/>
      <x:c r="I403" s="16"/>
      <x:c r="J403" s="16"/>
      <x:c r="K403" s="16" t="str">
        <x:f>IF(COUNT(G403,I403)=0,"",AVERAGE(G403,I403))</x:f>
      </x:c>
      <x:c r="L403" s="16" t="str">
        <x:f>IF(COUNT(H403,J403)=0,"",AVERAGE(H403,J403))</x:f>
      </x:c>
      <x:c r="M403" s="16" t="str">
        <x:f>IF(OR(K403="",L403=""),"",L403-K403)</x:f>
      </x:c>
      <x:c r="N403" s="16" t="str">
        <x:f>IF(AND(A403=A402,ISNUMBER(K403),ISNUMBER(K402)),K403-K402,"")</x:f>
      </x:c>
      <x:c r="O403" s="13" t="str">
        <x:v>Sem informação</x:v>
      </x:c>
      <x:c r="P403" s="26"/>
      <x:c r="Q403" s="13"/>
      <x:c r="R403" s="13"/>
      <x:c r="S403" s="13"/>
      <x:c r="T403" s="13"/>
    </x:row>
    <x:row r="404">
      <x:c r="A404" s="13" t="str">
        <x:v>Jhuan</x:v>
      </x:c>
      <x:c r="B404" s="13" t="n">
        <x:v>2026</x:v>
      </x:c>
      <x:c r="C404" s="13" t="str">
        <x:v>T3</x:v>
      </x:c>
      <x:c r="D404" s="24" t="n">
        <x:v>46295</x:v>
      </x:c>
      <x:c r="E404" s="13" t="str">
        <x:v>Ponta-direita</x:v>
      </x:c>
      <x:c r="F404" s="13" t="str">
        <x:v>RB Bragantino Sub-20</x:v>
      </x:c>
      <x:c r="G404" s="16"/>
      <x:c r="H404" s="16"/>
      <x:c r="I404" s="16"/>
      <x:c r="J404" s="16"/>
      <x:c r="K404" s="16" t="str">
        <x:f>IF(COUNT(G404,I404)=0,"",AVERAGE(G404,I404))</x:f>
      </x:c>
      <x:c r="L404" s="16" t="str">
        <x:f>IF(COUNT(H404,J404)=0,"",AVERAGE(H404,J404))</x:f>
      </x:c>
      <x:c r="M404" s="16" t="str">
        <x:f>IF(OR(K404="",L404=""),"",L404-K404)</x:f>
      </x:c>
      <x:c r="N404" s="16" t="str">
        <x:f>IF(AND(A404=A403,ISNUMBER(K404),ISNUMBER(K403)),K404-K403,"")</x:f>
      </x:c>
      <x:c r="O404" s="13" t="str">
        <x:v>Sem informação</x:v>
      </x:c>
      <x:c r="P404" s="26"/>
      <x:c r="Q404" s="13"/>
      <x:c r="R404" s="13"/>
      <x:c r="S404" s="13"/>
      <x:c r="T404" s="13"/>
    </x:row>
    <x:row r="405">
      <x:c r="A405" s="13" t="str">
        <x:v>Jhuan</x:v>
      </x:c>
      <x:c r="B405" s="13" t="n">
        <x:v>2026</x:v>
      </x:c>
      <x:c r="C405" s="13" t="str">
        <x:v>T4</x:v>
      </x:c>
      <x:c r="D405" s="24" t="n">
        <x:v>46387</x:v>
      </x:c>
      <x:c r="E405" s="13" t="str">
        <x:v>Ponta-direita</x:v>
      </x:c>
      <x:c r="F405" s="13" t="str">
        <x:v>RB Bragantino Sub-20</x:v>
      </x:c>
      <x:c r="G405" s="16"/>
      <x:c r="H405" s="16"/>
      <x:c r="I405" s="16"/>
      <x:c r="J405" s="16"/>
      <x:c r="K405" s="16" t="str">
        <x:f>IF(COUNT(G405,I405)=0,"",AVERAGE(G405,I405))</x:f>
      </x:c>
      <x:c r="L405" s="16" t="str">
        <x:f>IF(COUNT(H405,J405)=0,"",AVERAGE(H405,J405))</x:f>
      </x:c>
      <x:c r="M405" s="16" t="str">
        <x:f>IF(OR(K405="",L405=""),"",L405-K405)</x:f>
      </x:c>
      <x:c r="N405" s="16" t="str">
        <x:f>IF(AND(A405=A404,ISNUMBER(K405),ISNUMBER(K404)),K405-K404,"")</x:f>
      </x:c>
      <x:c r="O405" s="13" t="str">
        <x:v>Sem informação</x:v>
      </x:c>
      <x:c r="P405" s="26"/>
      <x:c r="Q405" s="13"/>
      <x:c r="R405" s="13"/>
      <x:c r="S405" s="13"/>
      <x:c r="T405" s="13"/>
    </x:row>
    <x:row r="406">
      <x:c r="A406" s="13" t="str">
        <x:v>Jhuan</x:v>
      </x:c>
      <x:c r="B406" s="13" t="n">
        <x:v>2027</x:v>
      </x:c>
      <x:c r="C406" s="13" t="str">
        <x:v>T1</x:v>
      </x:c>
      <x:c r="D406" s="24" t="n">
        <x:v>46477</x:v>
      </x:c>
      <x:c r="E406" s="13" t="str">
        <x:v>Ponta-direita</x:v>
      </x:c>
      <x:c r="F406" s="13" t="str">
        <x:v>RB Bragantino Sub-20</x:v>
      </x:c>
      <x:c r="G406" s="16"/>
      <x:c r="H406" s="16"/>
      <x:c r="I406" s="16"/>
      <x:c r="J406" s="16"/>
      <x:c r="K406" s="16" t="str">
        <x:f>IF(COUNT(G406,I406)=0,"",AVERAGE(G406,I406))</x:f>
      </x:c>
      <x:c r="L406" s="16" t="str">
        <x:f>IF(COUNT(H406,J406)=0,"",AVERAGE(H406,J406))</x:f>
      </x:c>
      <x:c r="M406" s="16" t="str">
        <x:f>IF(OR(K406="",L406=""),"",L406-K406)</x:f>
      </x:c>
      <x:c r="N406" s="16" t="str">
        <x:f>IF(AND(A406=A405,ISNUMBER(K406),ISNUMBER(K405)),K406-K405,"")</x:f>
      </x:c>
      <x:c r="O406" s="13" t="str">
        <x:v>Sem informação</x:v>
      </x:c>
      <x:c r="P406" s="26"/>
      <x:c r="Q406" s="13"/>
      <x:c r="R406" s="13"/>
      <x:c r="S406" s="13"/>
      <x:c r="T406" s="13"/>
    </x:row>
    <x:row r="407">
      <x:c r="A407" s="13" t="str">
        <x:v>Jhuan</x:v>
      </x:c>
      <x:c r="B407" s="13" t="n">
        <x:v>2027</x:v>
      </x:c>
      <x:c r="C407" s="13" t="str">
        <x:v>T2</x:v>
      </x:c>
      <x:c r="D407" s="24" t="n">
        <x:v>46568</x:v>
      </x:c>
      <x:c r="E407" s="13" t="str">
        <x:v>Ponta-direita</x:v>
      </x:c>
      <x:c r="F407" s="13" t="str">
        <x:v>RB Bragantino Sub-20</x:v>
      </x:c>
      <x:c r="G407" s="16"/>
      <x:c r="H407" s="16"/>
      <x:c r="I407" s="16"/>
      <x:c r="J407" s="16"/>
      <x:c r="K407" s="16" t="str">
        <x:f>IF(COUNT(G407,I407)=0,"",AVERAGE(G407,I407))</x:f>
      </x:c>
      <x:c r="L407" s="16" t="str">
        <x:f>IF(COUNT(H407,J407)=0,"",AVERAGE(H407,J407))</x:f>
      </x:c>
      <x:c r="M407" s="16" t="str">
        <x:f>IF(OR(K407="",L407=""),"",L407-K407)</x:f>
      </x:c>
      <x:c r="N407" s="16" t="str">
        <x:f>IF(AND(A407=A406,ISNUMBER(K407),ISNUMBER(K406)),K407-K406,"")</x:f>
      </x:c>
      <x:c r="O407" s="13" t="str">
        <x:v>Sem informação</x:v>
      </x:c>
      <x:c r="P407" s="26"/>
      <x:c r="Q407" s="13"/>
      <x:c r="R407" s="13"/>
      <x:c r="S407" s="13"/>
      <x:c r="T407" s="13"/>
    </x:row>
    <x:row r="408">
      <x:c r="A408" s="13" t="str">
        <x:v>Jhuan</x:v>
      </x:c>
      <x:c r="B408" s="13" t="n">
        <x:v>2027</x:v>
      </x:c>
      <x:c r="C408" s="13" t="str">
        <x:v>T3</x:v>
      </x:c>
      <x:c r="D408" s="24" t="n">
        <x:v>46660</x:v>
      </x:c>
      <x:c r="E408" s="13" t="str">
        <x:v>Ponta-direita</x:v>
      </x:c>
      <x:c r="F408" s="13" t="str">
        <x:v>RB Bragantino Sub-20</x:v>
      </x:c>
      <x:c r="G408" s="16"/>
      <x:c r="H408" s="16"/>
      <x:c r="I408" s="16"/>
      <x:c r="J408" s="16"/>
      <x:c r="K408" s="16" t="str">
        <x:f>IF(COUNT(G408,I408)=0,"",AVERAGE(G408,I408))</x:f>
      </x:c>
      <x:c r="L408" s="16" t="str">
        <x:f>IF(COUNT(H408,J408)=0,"",AVERAGE(H408,J408))</x:f>
      </x:c>
      <x:c r="M408" s="16" t="str">
        <x:f>IF(OR(K408="",L408=""),"",L408-K408)</x:f>
      </x:c>
      <x:c r="N408" s="16" t="str">
        <x:f>IF(AND(A408=A407,ISNUMBER(K408),ISNUMBER(K407)),K408-K407,"")</x:f>
      </x:c>
      <x:c r="O408" s="13" t="str">
        <x:v>Sem informação</x:v>
      </x:c>
      <x:c r="P408" s="26"/>
      <x:c r="Q408" s="13"/>
      <x:c r="R408" s="13"/>
      <x:c r="S408" s="13"/>
      <x:c r="T408" s="13"/>
    </x:row>
    <x:row r="409">
      <x:c r="A409" s="13" t="str">
        <x:v>Jhuan</x:v>
      </x:c>
      <x:c r="B409" s="13" t="n">
        <x:v>2027</x:v>
      </x:c>
      <x:c r="C409" s="13" t="str">
        <x:v>T4</x:v>
      </x:c>
      <x:c r="D409" s="24" t="n">
        <x:v>46752</x:v>
      </x:c>
      <x:c r="E409" s="13" t="str">
        <x:v>Ponta-direita</x:v>
      </x:c>
      <x:c r="F409" s="13" t="str">
        <x:v>RB Bragantino Sub-20</x:v>
      </x:c>
      <x:c r="G409" s="16"/>
      <x:c r="H409" s="16"/>
      <x:c r="I409" s="16"/>
      <x:c r="J409" s="16"/>
      <x:c r="K409" s="16" t="str">
        <x:f>IF(COUNT(G409,I409)=0,"",AVERAGE(G409,I409))</x:f>
      </x:c>
      <x:c r="L409" s="16" t="str">
        <x:f>IF(COUNT(H409,J409)=0,"",AVERAGE(H409,J409))</x:f>
      </x:c>
      <x:c r="M409" s="16" t="str">
        <x:f>IF(OR(K409="",L409=""),"",L409-K409)</x:f>
      </x:c>
      <x:c r="N409" s="16" t="str">
        <x:f>IF(AND(A409=A408,ISNUMBER(K409),ISNUMBER(K408)),K409-K408,"")</x:f>
      </x:c>
      <x:c r="O409" s="13" t="str">
        <x:v>Sem informação</x:v>
      </x:c>
      <x:c r="P409" s="26"/>
      <x:c r="Q409" s="13"/>
      <x:c r="R409" s="13"/>
      <x:c r="S409" s="13"/>
      <x:c r="T409" s="13"/>
    </x:row>
    <x:row r="410">
      <x:c r="A410" s="13" t="str">
        <x:v>Jhuan</x:v>
      </x:c>
      <x:c r="B410" s="13" t="n">
        <x:v>2028</x:v>
      </x:c>
      <x:c r="C410" s="13" t="str">
        <x:v>T1</x:v>
      </x:c>
      <x:c r="D410" s="24" t="n">
        <x:v>46843</x:v>
      </x:c>
      <x:c r="E410" s="13" t="str">
        <x:v>Ponta-direita</x:v>
      </x:c>
      <x:c r="F410" s="13" t="str">
        <x:v>RB Bragantino Sub-20</x:v>
      </x:c>
      <x:c r="G410" s="16"/>
      <x:c r="H410" s="16"/>
      <x:c r="I410" s="16"/>
      <x:c r="J410" s="16"/>
      <x:c r="K410" s="16" t="str">
        <x:f>IF(COUNT(G410,I410)=0,"",AVERAGE(G410,I410))</x:f>
      </x:c>
      <x:c r="L410" s="16" t="str">
        <x:f>IF(COUNT(H410,J410)=0,"",AVERAGE(H410,J410))</x:f>
      </x:c>
      <x:c r="M410" s="16" t="str">
        <x:f>IF(OR(K410="",L410=""),"",L410-K410)</x:f>
      </x:c>
      <x:c r="N410" s="16" t="str">
        <x:f>IF(AND(A410=A409,ISNUMBER(K410),ISNUMBER(K409)),K410-K409,"")</x:f>
      </x:c>
      <x:c r="O410" s="13" t="str">
        <x:v>Sem informação</x:v>
      </x:c>
      <x:c r="P410" s="26"/>
      <x:c r="Q410" s="13"/>
      <x:c r="R410" s="13"/>
      <x:c r="S410" s="13"/>
      <x:c r="T410" s="13"/>
    </x:row>
    <x:row r="411">
      <x:c r="A411" s="13" t="str">
        <x:v>Jhuan</x:v>
      </x:c>
      <x:c r="B411" s="13" t="n">
        <x:v>2028</x:v>
      </x:c>
      <x:c r="C411" s="13" t="str">
        <x:v>T2</x:v>
      </x:c>
      <x:c r="D411" s="24" t="n">
        <x:v>46934</x:v>
      </x:c>
      <x:c r="E411" s="13" t="str">
        <x:v>Ponta-direita</x:v>
      </x:c>
      <x:c r="F411" s="13" t="str">
        <x:v>RB Bragantino Sub-20</x:v>
      </x:c>
      <x:c r="G411" s="16"/>
      <x:c r="H411" s="16"/>
      <x:c r="I411" s="16"/>
      <x:c r="J411" s="16"/>
      <x:c r="K411" s="16" t="str">
        <x:f>IF(COUNT(G411,I411)=0,"",AVERAGE(G411,I411))</x:f>
      </x:c>
      <x:c r="L411" s="16" t="str">
        <x:f>IF(COUNT(H411,J411)=0,"",AVERAGE(H411,J411))</x:f>
      </x:c>
      <x:c r="M411" s="16" t="str">
        <x:f>IF(OR(K411="",L411=""),"",L411-K411)</x:f>
      </x:c>
      <x:c r="N411" s="16" t="str">
        <x:f>IF(AND(A411=A410,ISNUMBER(K411),ISNUMBER(K410)),K411-K410,"")</x:f>
      </x:c>
      <x:c r="O411" s="13" t="str">
        <x:v>Sem informação</x:v>
      </x:c>
      <x:c r="P411" s="26"/>
      <x:c r="Q411" s="13"/>
      <x:c r="R411" s="13"/>
      <x:c r="S411" s="13"/>
      <x:c r="T411" s="13"/>
    </x:row>
    <x:row r="412">
      <x:c r="A412" s="13" t="str">
        <x:v>Jhuan</x:v>
      </x:c>
      <x:c r="B412" s="13" t="n">
        <x:v>2028</x:v>
      </x:c>
      <x:c r="C412" s="13" t="str">
        <x:v>T3</x:v>
      </x:c>
      <x:c r="D412" s="24" t="n">
        <x:v>47026</x:v>
      </x:c>
      <x:c r="E412" s="13" t="str">
        <x:v>Ponta-direita</x:v>
      </x:c>
      <x:c r="F412" s="13" t="str">
        <x:v>RB Bragantino Sub-20</x:v>
      </x:c>
      <x:c r="G412" s="16"/>
      <x:c r="H412" s="16"/>
      <x:c r="I412" s="16"/>
      <x:c r="J412" s="16"/>
      <x:c r="K412" s="16" t="str">
        <x:f>IF(COUNT(G412,I412)=0,"",AVERAGE(G412,I412))</x:f>
      </x:c>
      <x:c r="L412" s="16" t="str">
        <x:f>IF(COUNT(H412,J412)=0,"",AVERAGE(H412,J412))</x:f>
      </x:c>
      <x:c r="M412" s="16" t="str">
        <x:f>IF(OR(K412="",L412=""),"",L412-K412)</x:f>
      </x:c>
      <x:c r="N412" s="16" t="str">
        <x:f>IF(AND(A412=A411,ISNUMBER(K412),ISNUMBER(K411)),K412-K411,"")</x:f>
      </x:c>
      <x:c r="O412" s="13" t="str">
        <x:v>Sem informação</x:v>
      </x:c>
      <x:c r="P412" s="26"/>
      <x:c r="Q412" s="13"/>
      <x:c r="R412" s="13"/>
      <x:c r="S412" s="13"/>
      <x:c r="T412" s="13"/>
    </x:row>
    <x:row r="413">
      <x:c r="A413" s="13" t="str">
        <x:v>Jhuan</x:v>
      </x:c>
      <x:c r="B413" s="13" t="n">
        <x:v>2028</x:v>
      </x:c>
      <x:c r="C413" s="13" t="str">
        <x:v>T4</x:v>
      </x:c>
      <x:c r="D413" s="24" t="n">
        <x:v>47118</x:v>
      </x:c>
      <x:c r="E413" s="13" t="str">
        <x:v>Ponta-direita</x:v>
      </x:c>
      <x:c r="F413" s="13" t="str">
        <x:v>RB Bragantino Sub-20</x:v>
      </x:c>
      <x:c r="G413" s="16"/>
      <x:c r="H413" s="16"/>
      <x:c r="I413" s="16"/>
      <x:c r="J413" s="16"/>
      <x:c r="K413" s="16" t="str">
        <x:f>IF(COUNT(G413,I413)=0,"",AVERAGE(G413,I413))</x:f>
      </x:c>
      <x:c r="L413" s="16" t="str">
        <x:f>IF(COUNT(H413,J413)=0,"",AVERAGE(H413,J413))</x:f>
      </x:c>
      <x:c r="M413" s="16" t="str">
        <x:f>IF(OR(K413="",L413=""),"",L413-K413)</x:f>
      </x:c>
      <x:c r="N413" s="16" t="str">
        <x:f>IF(AND(A413=A412,ISNUMBER(K413),ISNUMBER(K412)),K413-K412,"")</x:f>
      </x:c>
      <x:c r="O413" s="13" t="str">
        <x:v>Sem informação</x:v>
      </x:c>
      <x:c r="P413" s="26"/>
      <x:c r="Q413" s="13"/>
      <x:c r="R413" s="13"/>
      <x:c r="S413" s="13"/>
      <x:c r="T413" s="13"/>
    </x:row>
    <x:row r="414">
      <x:c r="A414" s="13" t="str">
        <x:v>Jhuan</x:v>
      </x:c>
      <x:c r="B414" s="13" t="n">
        <x:v>2029</x:v>
      </x:c>
      <x:c r="C414" s="13" t="str">
        <x:v>T1</x:v>
      </x:c>
      <x:c r="D414" s="24" t="n">
        <x:v>47208</x:v>
      </x:c>
      <x:c r="E414" s="13" t="str">
        <x:v>Ponta-direita</x:v>
      </x:c>
      <x:c r="F414" s="13" t="str">
        <x:v>RB Bragantino Sub-20</x:v>
      </x:c>
      <x:c r="G414" s="16"/>
      <x:c r="H414" s="16"/>
      <x:c r="I414" s="16"/>
      <x:c r="J414" s="16"/>
      <x:c r="K414" s="16" t="str">
        <x:f>IF(COUNT(G414,I414)=0,"",AVERAGE(G414,I414))</x:f>
      </x:c>
      <x:c r="L414" s="16" t="str">
        <x:f>IF(COUNT(H414,J414)=0,"",AVERAGE(H414,J414))</x:f>
      </x:c>
      <x:c r="M414" s="16" t="str">
        <x:f>IF(OR(K414="",L414=""),"",L414-K414)</x:f>
      </x:c>
      <x:c r="N414" s="16" t="str">
        <x:f>IF(AND(A414=A413,ISNUMBER(K414),ISNUMBER(K413)),K414-K413,"")</x:f>
      </x:c>
      <x:c r="O414" s="13" t="str">
        <x:v>Sem informação</x:v>
      </x:c>
      <x:c r="P414" s="26"/>
      <x:c r="Q414" s="13"/>
      <x:c r="R414" s="13"/>
      <x:c r="S414" s="13"/>
      <x:c r="T414" s="13"/>
    </x:row>
    <x:row r="415">
      <x:c r="A415" s="13" t="str">
        <x:v>Jhuan</x:v>
      </x:c>
      <x:c r="B415" s="13" t="n">
        <x:v>2029</x:v>
      </x:c>
      <x:c r="C415" s="13" t="str">
        <x:v>T2</x:v>
      </x:c>
      <x:c r="D415" s="24" t="n">
        <x:v>47299</x:v>
      </x:c>
      <x:c r="E415" s="13" t="str">
        <x:v>Ponta-direita</x:v>
      </x:c>
      <x:c r="F415" s="13" t="str">
        <x:v>RB Bragantino Sub-20</x:v>
      </x:c>
      <x:c r="G415" s="16"/>
      <x:c r="H415" s="16"/>
      <x:c r="I415" s="16"/>
      <x:c r="J415" s="16"/>
      <x:c r="K415" s="16" t="str">
        <x:f>IF(COUNT(G415,I415)=0,"",AVERAGE(G415,I415))</x:f>
      </x:c>
      <x:c r="L415" s="16" t="str">
        <x:f>IF(COUNT(H415,J415)=0,"",AVERAGE(H415,J415))</x:f>
      </x:c>
      <x:c r="M415" s="16" t="str">
        <x:f>IF(OR(K415="",L415=""),"",L415-K415)</x:f>
      </x:c>
      <x:c r="N415" s="16" t="str">
        <x:f>IF(AND(A415=A414,ISNUMBER(K415),ISNUMBER(K414)),K415-K414,"")</x:f>
      </x:c>
      <x:c r="O415" s="13" t="str">
        <x:v>Sem informação</x:v>
      </x:c>
      <x:c r="P415" s="26"/>
      <x:c r="Q415" s="13"/>
      <x:c r="R415" s="13"/>
      <x:c r="S415" s="13"/>
      <x:c r="T415" s="13"/>
    </x:row>
    <x:row r="416">
      <x:c r="A416" s="13" t="str">
        <x:v>Jhuan</x:v>
      </x:c>
      <x:c r="B416" s="13" t="n">
        <x:v>2029</x:v>
      </x:c>
      <x:c r="C416" s="13" t="str">
        <x:v>T3</x:v>
      </x:c>
      <x:c r="D416" s="24" t="n">
        <x:v>47391</x:v>
      </x:c>
      <x:c r="E416" s="13" t="str">
        <x:v>Ponta-direita</x:v>
      </x:c>
      <x:c r="F416" s="13" t="str">
        <x:v>RB Bragantino Sub-20</x:v>
      </x:c>
      <x:c r="G416" s="16"/>
      <x:c r="H416" s="16"/>
      <x:c r="I416" s="16"/>
      <x:c r="J416" s="16"/>
      <x:c r="K416" s="16" t="str">
        <x:f>IF(COUNT(G416,I416)=0,"",AVERAGE(G416,I416))</x:f>
      </x:c>
      <x:c r="L416" s="16" t="str">
        <x:f>IF(COUNT(H416,J416)=0,"",AVERAGE(H416,J416))</x:f>
      </x:c>
      <x:c r="M416" s="16" t="str">
        <x:f>IF(OR(K416="",L416=""),"",L416-K416)</x:f>
      </x:c>
      <x:c r="N416" s="16" t="str">
        <x:f>IF(AND(A416=A415,ISNUMBER(K416),ISNUMBER(K415)),K416-K415,"")</x:f>
      </x:c>
      <x:c r="O416" s="13" t="str">
        <x:v>Sem informação</x:v>
      </x:c>
      <x:c r="P416" s="26"/>
      <x:c r="Q416" s="13"/>
      <x:c r="R416" s="13"/>
      <x:c r="S416" s="13"/>
      <x:c r="T416" s="13"/>
    </x:row>
    <x:row r="417">
      <x:c r="A417" s="13" t="str">
        <x:v>Jhuan</x:v>
      </x:c>
      <x:c r="B417" s="13" t="n">
        <x:v>2029</x:v>
      </x:c>
      <x:c r="C417" s="13" t="str">
        <x:v>T4</x:v>
      </x:c>
      <x:c r="D417" s="24" t="n">
        <x:v>47483</x:v>
      </x:c>
      <x:c r="E417" s="13" t="str">
        <x:v>Ponta-direita</x:v>
      </x:c>
      <x:c r="F417" s="13" t="str">
        <x:v>RB Bragantino Sub-20</x:v>
      </x:c>
      <x:c r="G417" s="16"/>
      <x:c r="H417" s="16"/>
      <x:c r="I417" s="16"/>
      <x:c r="J417" s="16"/>
      <x:c r="K417" s="16" t="str">
        <x:f>IF(COUNT(G417,I417)=0,"",AVERAGE(G417,I417))</x:f>
      </x:c>
      <x:c r="L417" s="16" t="str">
        <x:f>IF(COUNT(H417,J417)=0,"",AVERAGE(H417,J417))</x:f>
      </x:c>
      <x:c r="M417" s="16" t="str">
        <x:f>IF(OR(K417="",L417=""),"",L417-K417)</x:f>
      </x:c>
      <x:c r="N417" s="16" t="str">
        <x:f>IF(AND(A417=A416,ISNUMBER(K417),ISNUMBER(K416)),K417-K416,"")</x:f>
      </x:c>
      <x:c r="O417" s="13" t="str">
        <x:v>Sem informação</x:v>
      </x:c>
      <x:c r="P417" s="26"/>
      <x:c r="Q417" s="13"/>
      <x:c r="R417" s="13"/>
      <x:c r="S417" s="13"/>
      <x:c r="T417" s="13"/>
    </x:row>
    <x:row r="418">
      <x:c r="A418" s="13" t="str">
        <x:v>Jhuan</x:v>
      </x:c>
      <x:c r="B418" s="13" t="n">
        <x:v>2030</x:v>
      </x:c>
      <x:c r="C418" s="13" t="str">
        <x:v>T1</x:v>
      </x:c>
      <x:c r="D418" s="24" t="n">
        <x:v>47573</x:v>
      </x:c>
      <x:c r="E418" s="13" t="str">
        <x:v>Ponta-direita</x:v>
      </x:c>
      <x:c r="F418" s="13" t="str">
        <x:v>RB Bragantino Sub-20</x:v>
      </x:c>
      <x:c r="G418" s="16"/>
      <x:c r="H418" s="16"/>
      <x:c r="I418" s="16"/>
      <x:c r="J418" s="16"/>
      <x:c r="K418" s="16" t="str">
        <x:f>IF(COUNT(G418,I418)=0,"",AVERAGE(G418,I418))</x:f>
      </x:c>
      <x:c r="L418" s="16" t="str">
        <x:f>IF(COUNT(H418,J418)=0,"",AVERAGE(H418,J418))</x:f>
      </x:c>
      <x:c r="M418" s="16" t="str">
        <x:f>IF(OR(K418="",L418=""),"",L418-K418)</x:f>
      </x:c>
      <x:c r="N418" s="16" t="str">
        <x:f>IF(AND(A418=A417,ISNUMBER(K418),ISNUMBER(K417)),K418-K417,"")</x:f>
      </x:c>
      <x:c r="O418" s="13" t="str">
        <x:v>Sem informação</x:v>
      </x:c>
      <x:c r="P418" s="26"/>
      <x:c r="Q418" s="13"/>
      <x:c r="R418" s="13"/>
      <x:c r="S418" s="13"/>
      <x:c r="T418" s="13"/>
    </x:row>
    <x:row r="419">
      <x:c r="A419" s="13" t="str">
        <x:v>Jhuan</x:v>
      </x:c>
      <x:c r="B419" s="13" t="n">
        <x:v>2030</x:v>
      </x:c>
      <x:c r="C419" s="13" t="str">
        <x:v>T2</x:v>
      </x:c>
      <x:c r="D419" s="24" t="n">
        <x:v>47664</x:v>
      </x:c>
      <x:c r="E419" s="13" t="str">
        <x:v>Ponta-direita</x:v>
      </x:c>
      <x:c r="F419" s="13" t="str">
        <x:v>RB Bragantino Sub-20</x:v>
      </x:c>
      <x:c r="G419" s="16"/>
      <x:c r="H419" s="16"/>
      <x:c r="I419" s="16"/>
      <x:c r="J419" s="16"/>
      <x:c r="K419" s="16" t="str">
        <x:f>IF(COUNT(G419,I419)=0,"",AVERAGE(G419,I419))</x:f>
      </x:c>
      <x:c r="L419" s="16" t="str">
        <x:f>IF(COUNT(H419,J419)=0,"",AVERAGE(H419,J419))</x:f>
      </x:c>
      <x:c r="M419" s="16" t="str">
        <x:f>IF(OR(K419="",L419=""),"",L419-K419)</x:f>
      </x:c>
      <x:c r="N419" s="16" t="str">
        <x:f>IF(AND(A419=A418,ISNUMBER(K419),ISNUMBER(K418)),K419-K418,"")</x:f>
      </x:c>
      <x:c r="O419" s="13" t="str">
        <x:v>Sem informação</x:v>
      </x:c>
      <x:c r="P419" s="26"/>
      <x:c r="Q419" s="13"/>
      <x:c r="R419" s="13"/>
      <x:c r="S419" s="13"/>
      <x:c r="T419" s="13"/>
    </x:row>
    <x:row r="420">
      <x:c r="A420" s="13" t="str">
        <x:v>Jhuan</x:v>
      </x:c>
      <x:c r="B420" s="13" t="n">
        <x:v>2030</x:v>
      </x:c>
      <x:c r="C420" s="13" t="str">
        <x:v>T3</x:v>
      </x:c>
      <x:c r="D420" s="24" t="n">
        <x:v>47756</x:v>
      </x:c>
      <x:c r="E420" s="13" t="str">
        <x:v>Ponta-direita</x:v>
      </x:c>
      <x:c r="F420" s="13" t="str">
        <x:v>RB Bragantino Sub-20</x:v>
      </x:c>
      <x:c r="G420" s="16"/>
      <x:c r="H420" s="16"/>
      <x:c r="I420" s="16"/>
      <x:c r="J420" s="16"/>
      <x:c r="K420" s="16" t="str">
        <x:f>IF(COUNT(G420,I420)=0,"",AVERAGE(G420,I420))</x:f>
      </x:c>
      <x:c r="L420" s="16" t="str">
        <x:f>IF(COUNT(H420,J420)=0,"",AVERAGE(H420,J420))</x:f>
      </x:c>
      <x:c r="M420" s="16" t="str">
        <x:f>IF(OR(K420="",L420=""),"",L420-K420)</x:f>
      </x:c>
      <x:c r="N420" s="16" t="str">
        <x:f>IF(AND(A420=A419,ISNUMBER(K420),ISNUMBER(K419)),K420-K419,"")</x:f>
      </x:c>
      <x:c r="O420" s="13" t="str">
        <x:v>Sem informação</x:v>
      </x:c>
      <x:c r="P420" s="26"/>
      <x:c r="Q420" s="13"/>
      <x:c r="R420" s="13"/>
      <x:c r="S420" s="13"/>
      <x:c r="T420" s="13"/>
    </x:row>
    <x:row r="421">
      <x:c r="A421" s="13" t="str">
        <x:v>Jhuan</x:v>
      </x:c>
      <x:c r="B421" s="13" t="n">
        <x:v>2030</x:v>
      </x:c>
      <x:c r="C421" s="13" t="str">
        <x:v>T4</x:v>
      </x:c>
      <x:c r="D421" s="24" t="n">
        <x:v>47848</x:v>
      </x:c>
      <x:c r="E421" s="13" t="str">
        <x:v>Ponta-direita</x:v>
      </x:c>
      <x:c r="F421" s="13" t="str">
        <x:v>RB Bragantino Sub-20</x:v>
      </x:c>
      <x:c r="G421" s="16"/>
      <x:c r="H421" s="16"/>
      <x:c r="I421" s="16"/>
      <x:c r="J421" s="16"/>
      <x:c r="K421" s="16" t="str">
        <x:f>IF(COUNT(G421,I421)=0,"",AVERAGE(G421,I421))</x:f>
      </x:c>
      <x:c r="L421" s="16" t="str">
        <x:f>IF(COUNT(H421,J421)=0,"",AVERAGE(H421,J421))</x:f>
      </x:c>
      <x:c r="M421" s="16" t="str">
        <x:f>IF(OR(K421="",L421=""),"",L421-K421)</x:f>
      </x:c>
      <x:c r="N421" s="16" t="str">
        <x:f>IF(AND(A421=A420,ISNUMBER(K421),ISNUMBER(K420)),K421-K420,"")</x:f>
      </x:c>
      <x:c r="O421" s="13" t="str">
        <x:v>Sem informação</x:v>
      </x:c>
      <x:c r="P421" s="26"/>
      <x:c r="Q421" s="13"/>
      <x:c r="R421" s="13"/>
      <x:c r="S421" s="13"/>
      <x:c r="T421" s="13"/>
    </x:row>
    <x:row r="422">
      <x:c r="A422" s="13" t="str">
        <x:v>João Gomes</x:v>
      </x:c>
      <x:c r="B422" s="13" t="n">
        <x:v>2026</x:v>
      </x:c>
      <x:c r="C422" s="13" t="str">
        <x:v>T1</x:v>
      </x:c>
      <x:c r="D422" s="24" t="n">
        <x:v>46112</x:v>
      </x:c>
      <x:c r="E422" s="13" t="str">
        <x:v>Volante</x:v>
      </x:c>
      <x:c r="F422" s="13" t="str">
        <x:v>Wolverhampton Wanderers</x:v>
      </x:c>
      <x:c r="G422" s="16"/>
      <x:c r="H422" s="16"/>
      <x:c r="I422" s="16"/>
      <x:c r="J422" s="16"/>
      <x:c r="K422" s="16" t="str">
        <x:f>IF(COUNT(G422,I422)=0,"",AVERAGE(G422,I422))</x:f>
      </x:c>
      <x:c r="L422" s="16" t="str">
        <x:f>IF(COUNT(H422,J422)=0,"",AVERAGE(H422,J422))</x:f>
      </x:c>
      <x:c r="M422" s="16" t="str">
        <x:f>IF(OR(K422="",L422=""),"",L422-K422)</x:f>
      </x:c>
      <x:c r="N422" s="16" t="str">
        <x:f>IF(AND(A422=A421,ISNUMBER(K422),ISNUMBER(K421)),K422-K421,"")</x:f>
      </x:c>
      <x:c r="O422" s="13" t="str">
        <x:v>Sem informação</x:v>
      </x:c>
      <x:c r="P422" s="26"/>
      <x:c r="Q422" s="13"/>
      <x:c r="R422" s="13"/>
      <x:c r="S422" s="13"/>
      <x:c r="T422" s="13"/>
    </x:row>
    <x:row r="423">
      <x:c r="A423" s="13" t="str">
        <x:v>João Gomes</x:v>
      </x:c>
      <x:c r="B423" s="13" t="n">
        <x:v>2026</x:v>
      </x:c>
      <x:c r="C423" s="13" t="str">
        <x:v>T2</x:v>
      </x:c>
      <x:c r="D423" s="24" t="n">
        <x:v>46203</x:v>
      </x:c>
      <x:c r="E423" s="13" t="str">
        <x:v>Volante</x:v>
      </x:c>
      <x:c r="F423" s="13" t="str">
        <x:v>Wolverhampton Wanderers</x:v>
      </x:c>
      <x:c r="G423" s="16"/>
      <x:c r="H423" s="16"/>
      <x:c r="I423" s="16"/>
      <x:c r="J423" s="16"/>
      <x:c r="K423" s="16" t="str">
        <x:f>IF(COUNT(G423,I423)=0,"",AVERAGE(G423,I423))</x:f>
      </x:c>
      <x:c r="L423" s="16" t="str">
        <x:f>IF(COUNT(H423,J423)=0,"",AVERAGE(H423,J423))</x:f>
      </x:c>
      <x:c r="M423" s="16" t="str">
        <x:f>IF(OR(K423="",L423=""),"",L423-K423)</x:f>
      </x:c>
      <x:c r="N423" s="16" t="str">
        <x:f>IF(AND(A423=A422,ISNUMBER(K423),ISNUMBER(K422)),K423-K422,"")</x:f>
      </x:c>
      <x:c r="O423" s="13" t="str">
        <x:v>Sem informação</x:v>
      </x:c>
      <x:c r="P423" s="26"/>
      <x:c r="Q423" s="13"/>
      <x:c r="R423" s="13"/>
      <x:c r="S423" s="13"/>
      <x:c r="T423" s="13"/>
    </x:row>
    <x:row r="424">
      <x:c r="A424" s="13" t="str">
        <x:v>João Gomes</x:v>
      </x:c>
      <x:c r="B424" s="13" t="n">
        <x:v>2026</x:v>
      </x:c>
      <x:c r="C424" s="13" t="str">
        <x:v>T3</x:v>
      </x:c>
      <x:c r="D424" s="24" t="n">
        <x:v>46295</x:v>
      </x:c>
      <x:c r="E424" s="13" t="str">
        <x:v>Volante</x:v>
      </x:c>
      <x:c r="F424" s="13" t="str">
        <x:v>Wolverhampton Wanderers</x:v>
      </x:c>
      <x:c r="G424" s="16"/>
      <x:c r="H424" s="16"/>
      <x:c r="I424" s="16"/>
      <x:c r="J424" s="16"/>
      <x:c r="K424" s="16" t="str">
        <x:f>IF(COUNT(G424,I424)=0,"",AVERAGE(G424,I424))</x:f>
      </x:c>
      <x:c r="L424" s="16" t="str">
        <x:f>IF(COUNT(H424,J424)=0,"",AVERAGE(H424,J424))</x:f>
      </x:c>
      <x:c r="M424" s="16" t="str">
        <x:f>IF(OR(K424="",L424=""),"",L424-K424)</x:f>
      </x:c>
      <x:c r="N424" s="16" t="str">
        <x:f>IF(AND(A424=A423,ISNUMBER(K424),ISNUMBER(K423)),K424-K423,"")</x:f>
      </x:c>
      <x:c r="O424" s="13" t="str">
        <x:v>Sem informação</x:v>
      </x:c>
      <x:c r="P424" s="26"/>
      <x:c r="Q424" s="13"/>
      <x:c r="R424" s="13"/>
      <x:c r="S424" s="13"/>
      <x:c r="T424" s="13"/>
    </x:row>
    <x:row r="425">
      <x:c r="A425" s="13" t="str">
        <x:v>João Gomes</x:v>
      </x:c>
      <x:c r="B425" s="13" t="n">
        <x:v>2026</x:v>
      </x:c>
      <x:c r="C425" s="13" t="str">
        <x:v>T4</x:v>
      </x:c>
      <x:c r="D425" s="24" t="n">
        <x:v>46387</x:v>
      </x:c>
      <x:c r="E425" s="13" t="str">
        <x:v>Volante</x:v>
      </x:c>
      <x:c r="F425" s="13" t="str">
        <x:v>Wolverhampton Wanderers</x:v>
      </x:c>
      <x:c r="G425" s="16"/>
      <x:c r="H425" s="16"/>
      <x:c r="I425" s="16"/>
      <x:c r="J425" s="16"/>
      <x:c r="K425" s="16" t="str">
        <x:f>IF(COUNT(G425,I425)=0,"",AVERAGE(G425,I425))</x:f>
      </x:c>
      <x:c r="L425" s="16" t="str">
        <x:f>IF(COUNT(H425,J425)=0,"",AVERAGE(H425,J425))</x:f>
      </x:c>
      <x:c r="M425" s="16" t="str">
        <x:f>IF(OR(K425="",L425=""),"",L425-K425)</x:f>
      </x:c>
      <x:c r="N425" s="16" t="str">
        <x:f>IF(AND(A425=A424,ISNUMBER(K425),ISNUMBER(K424)),K425-K424,"")</x:f>
      </x:c>
      <x:c r="O425" s="13" t="str">
        <x:v>Sem informação</x:v>
      </x:c>
      <x:c r="P425" s="26"/>
      <x:c r="Q425" s="13"/>
      <x:c r="R425" s="13"/>
      <x:c r="S425" s="13"/>
      <x:c r="T425" s="13"/>
    </x:row>
    <x:row r="426">
      <x:c r="A426" s="13" t="str">
        <x:v>João Gomes</x:v>
      </x:c>
      <x:c r="B426" s="13" t="n">
        <x:v>2027</x:v>
      </x:c>
      <x:c r="C426" s="13" t="str">
        <x:v>T1</x:v>
      </x:c>
      <x:c r="D426" s="24" t="n">
        <x:v>46477</x:v>
      </x:c>
      <x:c r="E426" s="13" t="str">
        <x:v>Volante</x:v>
      </x:c>
      <x:c r="F426" s="13" t="str">
        <x:v>Wolverhampton Wanderers</x:v>
      </x:c>
      <x:c r="G426" s="16"/>
      <x:c r="H426" s="16"/>
      <x:c r="I426" s="16"/>
      <x:c r="J426" s="16"/>
      <x:c r="K426" s="16" t="str">
        <x:f>IF(COUNT(G426,I426)=0,"",AVERAGE(G426,I426))</x:f>
      </x:c>
      <x:c r="L426" s="16" t="str">
        <x:f>IF(COUNT(H426,J426)=0,"",AVERAGE(H426,J426))</x:f>
      </x:c>
      <x:c r="M426" s="16" t="str">
        <x:f>IF(OR(K426="",L426=""),"",L426-K426)</x:f>
      </x:c>
      <x:c r="N426" s="16" t="str">
        <x:f>IF(AND(A426=A425,ISNUMBER(K426),ISNUMBER(K425)),K426-K425,"")</x:f>
      </x:c>
      <x:c r="O426" s="13" t="str">
        <x:v>Sem informação</x:v>
      </x:c>
      <x:c r="P426" s="26"/>
      <x:c r="Q426" s="13"/>
      <x:c r="R426" s="13"/>
      <x:c r="S426" s="13"/>
      <x:c r="T426" s="13"/>
    </x:row>
    <x:row r="427">
      <x:c r="A427" s="13" t="str">
        <x:v>João Gomes</x:v>
      </x:c>
      <x:c r="B427" s="13" t="n">
        <x:v>2027</x:v>
      </x:c>
      <x:c r="C427" s="13" t="str">
        <x:v>T2</x:v>
      </x:c>
      <x:c r="D427" s="24" t="n">
        <x:v>46568</x:v>
      </x:c>
      <x:c r="E427" s="13" t="str">
        <x:v>Volante</x:v>
      </x:c>
      <x:c r="F427" s="13" t="str">
        <x:v>Wolverhampton Wanderers</x:v>
      </x:c>
      <x:c r="G427" s="16"/>
      <x:c r="H427" s="16"/>
      <x:c r="I427" s="16"/>
      <x:c r="J427" s="16"/>
      <x:c r="K427" s="16" t="str">
        <x:f>IF(COUNT(G427,I427)=0,"",AVERAGE(G427,I427))</x:f>
      </x:c>
      <x:c r="L427" s="16" t="str">
        <x:f>IF(COUNT(H427,J427)=0,"",AVERAGE(H427,J427))</x:f>
      </x:c>
      <x:c r="M427" s="16" t="str">
        <x:f>IF(OR(K427="",L427=""),"",L427-K427)</x:f>
      </x:c>
      <x:c r="N427" s="16" t="str">
        <x:f>IF(AND(A427=A426,ISNUMBER(K427),ISNUMBER(K426)),K427-K426,"")</x:f>
      </x:c>
      <x:c r="O427" s="13" t="str">
        <x:v>Sem informação</x:v>
      </x:c>
      <x:c r="P427" s="26"/>
      <x:c r="Q427" s="13"/>
      <x:c r="R427" s="13"/>
      <x:c r="S427" s="13"/>
      <x:c r="T427" s="13"/>
    </x:row>
    <x:row r="428">
      <x:c r="A428" s="13" t="str">
        <x:v>João Gomes</x:v>
      </x:c>
      <x:c r="B428" s="13" t="n">
        <x:v>2027</x:v>
      </x:c>
      <x:c r="C428" s="13" t="str">
        <x:v>T3</x:v>
      </x:c>
      <x:c r="D428" s="24" t="n">
        <x:v>46660</x:v>
      </x:c>
      <x:c r="E428" s="13" t="str">
        <x:v>Volante</x:v>
      </x:c>
      <x:c r="F428" s="13" t="str">
        <x:v>Wolverhampton Wanderers</x:v>
      </x:c>
      <x:c r="G428" s="16"/>
      <x:c r="H428" s="16"/>
      <x:c r="I428" s="16"/>
      <x:c r="J428" s="16"/>
      <x:c r="K428" s="16" t="str">
        <x:f>IF(COUNT(G428,I428)=0,"",AVERAGE(G428,I428))</x:f>
      </x:c>
      <x:c r="L428" s="16" t="str">
        <x:f>IF(COUNT(H428,J428)=0,"",AVERAGE(H428,J428))</x:f>
      </x:c>
      <x:c r="M428" s="16" t="str">
        <x:f>IF(OR(K428="",L428=""),"",L428-K428)</x:f>
      </x:c>
      <x:c r="N428" s="16" t="str">
        <x:f>IF(AND(A428=A427,ISNUMBER(K428),ISNUMBER(K427)),K428-K427,"")</x:f>
      </x:c>
      <x:c r="O428" s="13" t="str">
        <x:v>Sem informação</x:v>
      </x:c>
      <x:c r="P428" s="26"/>
      <x:c r="Q428" s="13"/>
      <x:c r="R428" s="13"/>
      <x:c r="S428" s="13"/>
      <x:c r="T428" s="13"/>
    </x:row>
    <x:row r="429">
      <x:c r="A429" s="13" t="str">
        <x:v>João Gomes</x:v>
      </x:c>
      <x:c r="B429" s="13" t="n">
        <x:v>2027</x:v>
      </x:c>
      <x:c r="C429" s="13" t="str">
        <x:v>T4</x:v>
      </x:c>
      <x:c r="D429" s="24" t="n">
        <x:v>46752</x:v>
      </x:c>
      <x:c r="E429" s="13" t="str">
        <x:v>Volante</x:v>
      </x:c>
      <x:c r="F429" s="13" t="str">
        <x:v>Wolverhampton Wanderers</x:v>
      </x:c>
      <x:c r="G429" s="16"/>
      <x:c r="H429" s="16"/>
      <x:c r="I429" s="16"/>
      <x:c r="J429" s="16"/>
      <x:c r="K429" s="16" t="str">
        <x:f>IF(COUNT(G429,I429)=0,"",AVERAGE(G429,I429))</x:f>
      </x:c>
      <x:c r="L429" s="16" t="str">
        <x:f>IF(COUNT(H429,J429)=0,"",AVERAGE(H429,J429))</x:f>
      </x:c>
      <x:c r="M429" s="16" t="str">
        <x:f>IF(OR(K429="",L429=""),"",L429-K429)</x:f>
      </x:c>
      <x:c r="N429" s="16" t="str">
        <x:f>IF(AND(A429=A428,ISNUMBER(K429),ISNUMBER(K428)),K429-K428,"")</x:f>
      </x:c>
      <x:c r="O429" s="13" t="str">
        <x:v>Sem informação</x:v>
      </x:c>
      <x:c r="P429" s="26"/>
      <x:c r="Q429" s="13"/>
      <x:c r="R429" s="13"/>
      <x:c r="S429" s="13"/>
      <x:c r="T429" s="13"/>
    </x:row>
    <x:row r="430">
      <x:c r="A430" s="13" t="str">
        <x:v>João Gomes</x:v>
      </x:c>
      <x:c r="B430" s="13" t="n">
        <x:v>2028</x:v>
      </x:c>
      <x:c r="C430" s="13" t="str">
        <x:v>T1</x:v>
      </x:c>
      <x:c r="D430" s="24" t="n">
        <x:v>46843</x:v>
      </x:c>
      <x:c r="E430" s="13" t="str">
        <x:v>Volante</x:v>
      </x:c>
      <x:c r="F430" s="13" t="str">
        <x:v>Wolverhampton Wanderers</x:v>
      </x:c>
      <x:c r="G430" s="16"/>
      <x:c r="H430" s="16"/>
      <x:c r="I430" s="16"/>
      <x:c r="J430" s="16"/>
      <x:c r="K430" s="16" t="str">
        <x:f>IF(COUNT(G430,I430)=0,"",AVERAGE(G430,I430))</x:f>
      </x:c>
      <x:c r="L430" s="16" t="str">
        <x:f>IF(COUNT(H430,J430)=0,"",AVERAGE(H430,J430))</x:f>
      </x:c>
      <x:c r="M430" s="16" t="str">
        <x:f>IF(OR(K430="",L430=""),"",L430-K430)</x:f>
      </x:c>
      <x:c r="N430" s="16" t="str">
        <x:f>IF(AND(A430=A429,ISNUMBER(K430),ISNUMBER(K429)),K430-K429,"")</x:f>
      </x:c>
      <x:c r="O430" s="13" t="str">
        <x:v>Sem informação</x:v>
      </x:c>
      <x:c r="P430" s="26"/>
      <x:c r="Q430" s="13"/>
      <x:c r="R430" s="13"/>
      <x:c r="S430" s="13"/>
      <x:c r="T430" s="13"/>
    </x:row>
    <x:row r="431">
      <x:c r="A431" s="13" t="str">
        <x:v>João Gomes</x:v>
      </x:c>
      <x:c r="B431" s="13" t="n">
        <x:v>2028</x:v>
      </x:c>
      <x:c r="C431" s="13" t="str">
        <x:v>T2</x:v>
      </x:c>
      <x:c r="D431" s="24" t="n">
        <x:v>46934</x:v>
      </x:c>
      <x:c r="E431" s="13" t="str">
        <x:v>Volante</x:v>
      </x:c>
      <x:c r="F431" s="13" t="str">
        <x:v>Wolverhampton Wanderers</x:v>
      </x:c>
      <x:c r="G431" s="16"/>
      <x:c r="H431" s="16"/>
      <x:c r="I431" s="16"/>
      <x:c r="J431" s="16"/>
      <x:c r="K431" s="16" t="str">
        <x:f>IF(COUNT(G431,I431)=0,"",AVERAGE(G431,I431))</x:f>
      </x:c>
      <x:c r="L431" s="16" t="str">
        <x:f>IF(COUNT(H431,J431)=0,"",AVERAGE(H431,J431))</x:f>
      </x:c>
      <x:c r="M431" s="16" t="str">
        <x:f>IF(OR(K431="",L431=""),"",L431-K431)</x:f>
      </x:c>
      <x:c r="N431" s="16" t="str">
        <x:f>IF(AND(A431=A430,ISNUMBER(K431),ISNUMBER(K430)),K431-K430,"")</x:f>
      </x:c>
      <x:c r="O431" s="13" t="str">
        <x:v>Sem informação</x:v>
      </x:c>
      <x:c r="P431" s="26"/>
      <x:c r="Q431" s="13"/>
      <x:c r="R431" s="13"/>
      <x:c r="S431" s="13"/>
      <x:c r="T431" s="13"/>
    </x:row>
    <x:row r="432">
      <x:c r="A432" s="13" t="str">
        <x:v>João Gomes</x:v>
      </x:c>
      <x:c r="B432" s="13" t="n">
        <x:v>2028</x:v>
      </x:c>
      <x:c r="C432" s="13" t="str">
        <x:v>T3</x:v>
      </x:c>
      <x:c r="D432" s="24" t="n">
        <x:v>47026</x:v>
      </x:c>
      <x:c r="E432" s="13" t="str">
        <x:v>Volante</x:v>
      </x:c>
      <x:c r="F432" s="13" t="str">
        <x:v>Wolverhampton Wanderers</x:v>
      </x:c>
      <x:c r="G432" s="16"/>
      <x:c r="H432" s="16"/>
      <x:c r="I432" s="16"/>
      <x:c r="J432" s="16"/>
      <x:c r="K432" s="16" t="str">
        <x:f>IF(COUNT(G432,I432)=0,"",AVERAGE(G432,I432))</x:f>
      </x:c>
      <x:c r="L432" s="16" t="str">
        <x:f>IF(COUNT(H432,J432)=0,"",AVERAGE(H432,J432))</x:f>
      </x:c>
      <x:c r="M432" s="16" t="str">
        <x:f>IF(OR(K432="",L432=""),"",L432-K432)</x:f>
      </x:c>
      <x:c r="N432" s="16" t="str">
        <x:f>IF(AND(A432=A431,ISNUMBER(K432),ISNUMBER(K431)),K432-K431,"")</x:f>
      </x:c>
      <x:c r="O432" s="13" t="str">
        <x:v>Sem informação</x:v>
      </x:c>
      <x:c r="P432" s="26"/>
      <x:c r="Q432" s="13"/>
      <x:c r="R432" s="13"/>
      <x:c r="S432" s="13"/>
      <x:c r="T432" s="13"/>
    </x:row>
    <x:row r="433">
      <x:c r="A433" s="13" t="str">
        <x:v>João Gomes</x:v>
      </x:c>
      <x:c r="B433" s="13" t="n">
        <x:v>2028</x:v>
      </x:c>
      <x:c r="C433" s="13" t="str">
        <x:v>T4</x:v>
      </x:c>
      <x:c r="D433" s="24" t="n">
        <x:v>47118</x:v>
      </x:c>
      <x:c r="E433" s="13" t="str">
        <x:v>Volante</x:v>
      </x:c>
      <x:c r="F433" s="13" t="str">
        <x:v>Wolverhampton Wanderers</x:v>
      </x:c>
      <x:c r="G433" s="16"/>
      <x:c r="H433" s="16"/>
      <x:c r="I433" s="16"/>
      <x:c r="J433" s="16"/>
      <x:c r="K433" s="16" t="str">
        <x:f>IF(COUNT(G433,I433)=0,"",AVERAGE(G433,I433))</x:f>
      </x:c>
      <x:c r="L433" s="16" t="str">
        <x:f>IF(COUNT(H433,J433)=0,"",AVERAGE(H433,J433))</x:f>
      </x:c>
      <x:c r="M433" s="16" t="str">
        <x:f>IF(OR(K433="",L433=""),"",L433-K433)</x:f>
      </x:c>
      <x:c r="N433" s="16" t="str">
        <x:f>IF(AND(A433=A432,ISNUMBER(K433),ISNUMBER(K432)),K433-K432,"")</x:f>
      </x:c>
      <x:c r="O433" s="13" t="str">
        <x:v>Sem informação</x:v>
      </x:c>
      <x:c r="P433" s="26"/>
      <x:c r="Q433" s="13"/>
      <x:c r="R433" s="13"/>
      <x:c r="S433" s="13"/>
      <x:c r="T433" s="13"/>
    </x:row>
    <x:row r="434">
      <x:c r="A434" s="13" t="str">
        <x:v>João Gomes</x:v>
      </x:c>
      <x:c r="B434" s="13" t="n">
        <x:v>2029</x:v>
      </x:c>
      <x:c r="C434" s="13" t="str">
        <x:v>T1</x:v>
      </x:c>
      <x:c r="D434" s="24" t="n">
        <x:v>47208</x:v>
      </x:c>
      <x:c r="E434" s="13" t="str">
        <x:v>Volante</x:v>
      </x:c>
      <x:c r="F434" s="13" t="str">
        <x:v>Wolverhampton Wanderers</x:v>
      </x:c>
      <x:c r="G434" s="16"/>
      <x:c r="H434" s="16"/>
      <x:c r="I434" s="16"/>
      <x:c r="J434" s="16"/>
      <x:c r="K434" s="16" t="str">
        <x:f>IF(COUNT(G434,I434)=0,"",AVERAGE(G434,I434))</x:f>
      </x:c>
      <x:c r="L434" s="16" t="str">
        <x:f>IF(COUNT(H434,J434)=0,"",AVERAGE(H434,J434))</x:f>
      </x:c>
      <x:c r="M434" s="16" t="str">
        <x:f>IF(OR(K434="",L434=""),"",L434-K434)</x:f>
      </x:c>
      <x:c r="N434" s="16" t="str">
        <x:f>IF(AND(A434=A433,ISNUMBER(K434),ISNUMBER(K433)),K434-K433,"")</x:f>
      </x:c>
      <x:c r="O434" s="13" t="str">
        <x:v>Sem informação</x:v>
      </x:c>
      <x:c r="P434" s="26"/>
      <x:c r="Q434" s="13"/>
      <x:c r="R434" s="13"/>
      <x:c r="S434" s="13"/>
      <x:c r="T434" s="13"/>
    </x:row>
    <x:row r="435">
      <x:c r="A435" s="13" t="str">
        <x:v>João Gomes</x:v>
      </x:c>
      <x:c r="B435" s="13" t="n">
        <x:v>2029</x:v>
      </x:c>
      <x:c r="C435" s="13" t="str">
        <x:v>T2</x:v>
      </x:c>
      <x:c r="D435" s="24" t="n">
        <x:v>47299</x:v>
      </x:c>
      <x:c r="E435" s="13" t="str">
        <x:v>Volante</x:v>
      </x:c>
      <x:c r="F435" s="13" t="str">
        <x:v>Wolverhampton Wanderers</x:v>
      </x:c>
      <x:c r="G435" s="16"/>
      <x:c r="H435" s="16"/>
      <x:c r="I435" s="16"/>
      <x:c r="J435" s="16"/>
      <x:c r="K435" s="16" t="str">
        <x:f>IF(COUNT(G435,I435)=0,"",AVERAGE(G435,I435))</x:f>
      </x:c>
      <x:c r="L435" s="16" t="str">
        <x:f>IF(COUNT(H435,J435)=0,"",AVERAGE(H435,J435))</x:f>
      </x:c>
      <x:c r="M435" s="16" t="str">
        <x:f>IF(OR(K435="",L435=""),"",L435-K435)</x:f>
      </x:c>
      <x:c r="N435" s="16" t="str">
        <x:f>IF(AND(A435=A434,ISNUMBER(K435),ISNUMBER(K434)),K435-K434,"")</x:f>
      </x:c>
      <x:c r="O435" s="13" t="str">
        <x:v>Sem informação</x:v>
      </x:c>
      <x:c r="P435" s="26"/>
      <x:c r="Q435" s="13"/>
      <x:c r="R435" s="13"/>
      <x:c r="S435" s="13"/>
      <x:c r="T435" s="13"/>
    </x:row>
    <x:row r="436">
      <x:c r="A436" s="13" t="str">
        <x:v>João Gomes</x:v>
      </x:c>
      <x:c r="B436" s="13" t="n">
        <x:v>2029</x:v>
      </x:c>
      <x:c r="C436" s="13" t="str">
        <x:v>T3</x:v>
      </x:c>
      <x:c r="D436" s="24" t="n">
        <x:v>47391</x:v>
      </x:c>
      <x:c r="E436" s="13" t="str">
        <x:v>Volante</x:v>
      </x:c>
      <x:c r="F436" s="13" t="str">
        <x:v>Wolverhampton Wanderers</x:v>
      </x:c>
      <x:c r="G436" s="16"/>
      <x:c r="H436" s="16"/>
      <x:c r="I436" s="16"/>
      <x:c r="J436" s="16"/>
      <x:c r="K436" s="16" t="str">
        <x:f>IF(COUNT(G436,I436)=0,"",AVERAGE(G436,I436))</x:f>
      </x:c>
      <x:c r="L436" s="16" t="str">
        <x:f>IF(COUNT(H436,J436)=0,"",AVERAGE(H436,J436))</x:f>
      </x:c>
      <x:c r="M436" s="16" t="str">
        <x:f>IF(OR(K436="",L436=""),"",L436-K436)</x:f>
      </x:c>
      <x:c r="N436" s="16" t="str">
        <x:f>IF(AND(A436=A435,ISNUMBER(K436),ISNUMBER(K435)),K436-K435,"")</x:f>
      </x:c>
      <x:c r="O436" s="13" t="str">
        <x:v>Sem informação</x:v>
      </x:c>
      <x:c r="P436" s="26"/>
      <x:c r="Q436" s="13"/>
      <x:c r="R436" s="13"/>
      <x:c r="S436" s="13"/>
      <x:c r="T436" s="13"/>
    </x:row>
    <x:row r="437">
      <x:c r="A437" s="13" t="str">
        <x:v>João Gomes</x:v>
      </x:c>
      <x:c r="B437" s="13" t="n">
        <x:v>2029</x:v>
      </x:c>
      <x:c r="C437" s="13" t="str">
        <x:v>T4</x:v>
      </x:c>
      <x:c r="D437" s="24" t="n">
        <x:v>47483</x:v>
      </x:c>
      <x:c r="E437" s="13" t="str">
        <x:v>Volante</x:v>
      </x:c>
      <x:c r="F437" s="13" t="str">
        <x:v>Wolverhampton Wanderers</x:v>
      </x:c>
      <x:c r="G437" s="16"/>
      <x:c r="H437" s="16"/>
      <x:c r="I437" s="16"/>
      <x:c r="J437" s="16"/>
      <x:c r="K437" s="16" t="str">
        <x:f>IF(COUNT(G437,I437)=0,"",AVERAGE(G437,I437))</x:f>
      </x:c>
      <x:c r="L437" s="16" t="str">
        <x:f>IF(COUNT(H437,J437)=0,"",AVERAGE(H437,J437))</x:f>
      </x:c>
      <x:c r="M437" s="16" t="str">
        <x:f>IF(OR(K437="",L437=""),"",L437-K437)</x:f>
      </x:c>
      <x:c r="N437" s="16" t="str">
        <x:f>IF(AND(A437=A436,ISNUMBER(K437),ISNUMBER(K436)),K437-K436,"")</x:f>
      </x:c>
      <x:c r="O437" s="13" t="str">
        <x:v>Sem informação</x:v>
      </x:c>
      <x:c r="P437" s="26"/>
      <x:c r="Q437" s="13"/>
      <x:c r="R437" s="13"/>
      <x:c r="S437" s="13"/>
      <x:c r="T437" s="13"/>
    </x:row>
    <x:row r="438">
      <x:c r="A438" s="13" t="str">
        <x:v>João Gomes</x:v>
      </x:c>
      <x:c r="B438" s="13" t="n">
        <x:v>2030</x:v>
      </x:c>
      <x:c r="C438" s="13" t="str">
        <x:v>T1</x:v>
      </x:c>
      <x:c r="D438" s="24" t="n">
        <x:v>47573</x:v>
      </x:c>
      <x:c r="E438" s="13" t="str">
        <x:v>Volante</x:v>
      </x:c>
      <x:c r="F438" s="13" t="str">
        <x:v>Wolverhampton Wanderers</x:v>
      </x:c>
      <x:c r="G438" s="16"/>
      <x:c r="H438" s="16"/>
      <x:c r="I438" s="16"/>
      <x:c r="J438" s="16"/>
      <x:c r="K438" s="16" t="str">
        <x:f>IF(COUNT(G438,I438)=0,"",AVERAGE(G438,I438))</x:f>
      </x:c>
      <x:c r="L438" s="16" t="str">
        <x:f>IF(COUNT(H438,J438)=0,"",AVERAGE(H438,J438))</x:f>
      </x:c>
      <x:c r="M438" s="16" t="str">
        <x:f>IF(OR(K438="",L438=""),"",L438-K438)</x:f>
      </x:c>
      <x:c r="N438" s="16" t="str">
        <x:f>IF(AND(A438=A437,ISNUMBER(K438),ISNUMBER(K437)),K438-K437,"")</x:f>
      </x:c>
      <x:c r="O438" s="13" t="str">
        <x:v>Sem informação</x:v>
      </x:c>
      <x:c r="P438" s="26"/>
      <x:c r="Q438" s="13"/>
      <x:c r="R438" s="13"/>
      <x:c r="S438" s="13"/>
      <x:c r="T438" s="13"/>
    </x:row>
    <x:row r="439">
      <x:c r="A439" s="13" t="str">
        <x:v>João Gomes</x:v>
      </x:c>
      <x:c r="B439" s="13" t="n">
        <x:v>2030</x:v>
      </x:c>
      <x:c r="C439" s="13" t="str">
        <x:v>T2</x:v>
      </x:c>
      <x:c r="D439" s="24" t="n">
        <x:v>47664</x:v>
      </x:c>
      <x:c r="E439" s="13" t="str">
        <x:v>Volante</x:v>
      </x:c>
      <x:c r="F439" s="13" t="str">
        <x:v>Wolverhampton Wanderers</x:v>
      </x:c>
      <x:c r="G439" s="16"/>
      <x:c r="H439" s="16"/>
      <x:c r="I439" s="16"/>
      <x:c r="J439" s="16"/>
      <x:c r="K439" s="16" t="str">
        <x:f>IF(COUNT(G439,I439)=0,"",AVERAGE(G439,I439))</x:f>
      </x:c>
      <x:c r="L439" s="16" t="str">
        <x:f>IF(COUNT(H439,J439)=0,"",AVERAGE(H439,J439))</x:f>
      </x:c>
      <x:c r="M439" s="16" t="str">
        <x:f>IF(OR(K439="",L439=""),"",L439-K439)</x:f>
      </x:c>
      <x:c r="N439" s="16" t="str">
        <x:f>IF(AND(A439=A438,ISNUMBER(K439),ISNUMBER(K438)),K439-K438,"")</x:f>
      </x:c>
      <x:c r="O439" s="13" t="str">
        <x:v>Sem informação</x:v>
      </x:c>
      <x:c r="P439" s="26"/>
      <x:c r="Q439" s="13"/>
      <x:c r="R439" s="13"/>
      <x:c r="S439" s="13"/>
      <x:c r="T439" s="13"/>
    </x:row>
    <x:row r="440">
      <x:c r="A440" s="13" t="str">
        <x:v>João Gomes</x:v>
      </x:c>
      <x:c r="B440" s="13" t="n">
        <x:v>2030</x:v>
      </x:c>
      <x:c r="C440" s="13" t="str">
        <x:v>T3</x:v>
      </x:c>
      <x:c r="D440" s="24" t="n">
        <x:v>47756</x:v>
      </x:c>
      <x:c r="E440" s="13" t="str">
        <x:v>Volante</x:v>
      </x:c>
      <x:c r="F440" s="13" t="str">
        <x:v>Wolverhampton Wanderers</x:v>
      </x:c>
      <x:c r="G440" s="16"/>
      <x:c r="H440" s="16"/>
      <x:c r="I440" s="16"/>
      <x:c r="J440" s="16"/>
      <x:c r="K440" s="16" t="str">
        <x:f>IF(COUNT(G440,I440)=0,"",AVERAGE(G440,I440))</x:f>
      </x:c>
      <x:c r="L440" s="16" t="str">
        <x:f>IF(COUNT(H440,J440)=0,"",AVERAGE(H440,J440))</x:f>
      </x:c>
      <x:c r="M440" s="16" t="str">
        <x:f>IF(OR(K440="",L440=""),"",L440-K440)</x:f>
      </x:c>
      <x:c r="N440" s="16" t="str">
        <x:f>IF(AND(A440=A439,ISNUMBER(K440),ISNUMBER(K439)),K440-K439,"")</x:f>
      </x:c>
      <x:c r="O440" s="13" t="str">
        <x:v>Sem informação</x:v>
      </x:c>
      <x:c r="P440" s="26"/>
      <x:c r="Q440" s="13"/>
      <x:c r="R440" s="13"/>
      <x:c r="S440" s="13"/>
      <x:c r="T440" s="13"/>
    </x:row>
    <x:row r="441">
      <x:c r="A441" s="13" t="str">
        <x:v>João Gomes</x:v>
      </x:c>
      <x:c r="B441" s="13" t="n">
        <x:v>2030</x:v>
      </x:c>
      <x:c r="C441" s="13" t="str">
        <x:v>T4</x:v>
      </x:c>
      <x:c r="D441" s="24" t="n">
        <x:v>47848</x:v>
      </x:c>
      <x:c r="E441" s="13" t="str">
        <x:v>Volante</x:v>
      </x:c>
      <x:c r="F441" s="13" t="str">
        <x:v>Wolverhampton Wanderers</x:v>
      </x:c>
      <x:c r="G441" s="16"/>
      <x:c r="H441" s="16"/>
      <x:c r="I441" s="16"/>
      <x:c r="J441" s="16"/>
      <x:c r="K441" s="16" t="str">
        <x:f>IF(COUNT(G441,I441)=0,"",AVERAGE(G441,I441))</x:f>
      </x:c>
      <x:c r="L441" s="16" t="str">
        <x:f>IF(COUNT(H441,J441)=0,"",AVERAGE(H441,J441))</x:f>
      </x:c>
      <x:c r="M441" s="16" t="str">
        <x:f>IF(OR(K441="",L441=""),"",L441-K441)</x:f>
      </x:c>
      <x:c r="N441" s="16" t="str">
        <x:f>IF(AND(A441=A440,ISNUMBER(K441),ISNUMBER(K440)),K441-K440,"")</x:f>
      </x:c>
      <x:c r="O441" s="13" t="str">
        <x:v>Sem informação</x:v>
      </x:c>
      <x:c r="P441" s="26"/>
      <x:c r="Q441" s="13"/>
      <x:c r="R441" s="13"/>
      <x:c r="S441" s="13"/>
      <x:c r="T441" s="13"/>
    </x:row>
    <x:row r="442">
      <x:c r="A442" s="13" t="str">
        <x:v>Kaiki Bruno</x:v>
      </x:c>
      <x:c r="B442" s="13" t="n">
        <x:v>2026</x:v>
      </x:c>
      <x:c r="C442" s="13" t="str">
        <x:v>T1</x:v>
      </x:c>
      <x:c r="D442" s="24" t="n">
        <x:v>46112</x:v>
      </x:c>
      <x:c r="E442" s="13" t="str">
        <x:v>Lateral-esquerdo</x:v>
      </x:c>
      <x:c r="F442" s="13" t="str">
        <x:v>Cruzeiro</x:v>
      </x:c>
      <x:c r="G442" s="16"/>
      <x:c r="H442" s="16"/>
      <x:c r="I442" s="16"/>
      <x:c r="J442" s="16"/>
      <x:c r="K442" s="16" t="str">
        <x:f>IF(COUNT(G442,I442)=0,"",AVERAGE(G442,I442))</x:f>
      </x:c>
      <x:c r="L442" s="16" t="str">
        <x:f>IF(COUNT(H442,J442)=0,"",AVERAGE(H442,J442))</x:f>
      </x:c>
      <x:c r="M442" s="16" t="str">
        <x:f>IF(OR(K442="",L442=""),"",L442-K442)</x:f>
      </x:c>
      <x:c r="N442" s="16" t="str">
        <x:f>IF(AND(A442=A441,ISNUMBER(K442),ISNUMBER(K441)),K442-K441,"")</x:f>
      </x:c>
      <x:c r="O442" s="13" t="str">
        <x:v>Sem informação</x:v>
      </x:c>
      <x:c r="P442" s="26"/>
      <x:c r="Q442" s="13"/>
      <x:c r="R442" s="13"/>
      <x:c r="S442" s="13"/>
      <x:c r="T442" s="13"/>
    </x:row>
    <x:row r="443">
      <x:c r="A443" s="13" t="str">
        <x:v>Kaiki Bruno</x:v>
      </x:c>
      <x:c r="B443" s="13" t="n">
        <x:v>2026</x:v>
      </x:c>
      <x:c r="C443" s="13" t="str">
        <x:v>T2</x:v>
      </x:c>
      <x:c r="D443" s="24" t="n">
        <x:v>46203</x:v>
      </x:c>
      <x:c r="E443" s="13" t="str">
        <x:v>Lateral-esquerdo</x:v>
      </x:c>
      <x:c r="F443" s="13" t="str">
        <x:v>Cruzeiro</x:v>
      </x:c>
      <x:c r="G443" s="16"/>
      <x:c r="H443" s="16"/>
      <x:c r="I443" s="16"/>
      <x:c r="J443" s="16"/>
      <x:c r="K443" s="16" t="str">
        <x:f>IF(COUNT(G443,I443)=0,"",AVERAGE(G443,I443))</x:f>
      </x:c>
      <x:c r="L443" s="16" t="str">
        <x:f>IF(COUNT(H443,J443)=0,"",AVERAGE(H443,J443))</x:f>
      </x:c>
      <x:c r="M443" s="16" t="str">
        <x:f>IF(OR(K443="",L443=""),"",L443-K443)</x:f>
      </x:c>
      <x:c r="N443" s="16" t="str">
        <x:f>IF(AND(A443=A442,ISNUMBER(K443),ISNUMBER(K442)),K443-K442,"")</x:f>
      </x:c>
      <x:c r="O443" s="13" t="str">
        <x:v>Sem informação</x:v>
      </x:c>
      <x:c r="P443" s="26"/>
      <x:c r="Q443" s="13"/>
      <x:c r="R443" s="13"/>
      <x:c r="S443" s="13"/>
      <x:c r="T443" s="13"/>
    </x:row>
    <x:row r="444">
      <x:c r="A444" s="13" t="str">
        <x:v>Kaiki Bruno</x:v>
      </x:c>
      <x:c r="B444" s="13" t="n">
        <x:v>2026</x:v>
      </x:c>
      <x:c r="C444" s="13" t="str">
        <x:v>T3</x:v>
      </x:c>
      <x:c r="D444" s="24" t="n">
        <x:v>46295</x:v>
      </x:c>
      <x:c r="E444" s="13" t="str">
        <x:v>Lateral-esquerdo</x:v>
      </x:c>
      <x:c r="F444" s="13" t="str">
        <x:v>Cruzeiro</x:v>
      </x:c>
      <x:c r="G444" s="16"/>
      <x:c r="H444" s="16"/>
      <x:c r="I444" s="16"/>
      <x:c r="J444" s="16"/>
      <x:c r="K444" s="16" t="str">
        <x:f>IF(COUNT(G444,I444)=0,"",AVERAGE(G444,I444))</x:f>
      </x:c>
      <x:c r="L444" s="16" t="str">
        <x:f>IF(COUNT(H444,J444)=0,"",AVERAGE(H444,J444))</x:f>
      </x:c>
      <x:c r="M444" s="16" t="str">
        <x:f>IF(OR(K444="",L444=""),"",L444-K444)</x:f>
      </x:c>
      <x:c r="N444" s="16" t="str">
        <x:f>IF(AND(A444=A443,ISNUMBER(K444),ISNUMBER(K443)),K444-K443,"")</x:f>
      </x:c>
      <x:c r="O444" s="13" t="str">
        <x:v>Sem informação</x:v>
      </x:c>
      <x:c r="P444" s="26"/>
      <x:c r="Q444" s="13"/>
      <x:c r="R444" s="13"/>
      <x:c r="S444" s="13"/>
      <x:c r="T444" s="13"/>
    </x:row>
    <x:row r="445">
      <x:c r="A445" s="13" t="str">
        <x:v>Kaiki Bruno</x:v>
      </x:c>
      <x:c r="B445" s="13" t="n">
        <x:v>2026</x:v>
      </x:c>
      <x:c r="C445" s="13" t="str">
        <x:v>T4</x:v>
      </x:c>
      <x:c r="D445" s="24" t="n">
        <x:v>46387</x:v>
      </x:c>
      <x:c r="E445" s="13" t="str">
        <x:v>Lateral-esquerdo</x:v>
      </x:c>
      <x:c r="F445" s="13" t="str">
        <x:v>Cruzeiro</x:v>
      </x:c>
      <x:c r="G445" s="16"/>
      <x:c r="H445" s="16"/>
      <x:c r="I445" s="16"/>
      <x:c r="J445" s="16"/>
      <x:c r="K445" s="16" t="str">
        <x:f>IF(COUNT(G445,I445)=0,"",AVERAGE(G445,I445))</x:f>
      </x:c>
      <x:c r="L445" s="16" t="str">
        <x:f>IF(COUNT(H445,J445)=0,"",AVERAGE(H445,J445))</x:f>
      </x:c>
      <x:c r="M445" s="16" t="str">
        <x:f>IF(OR(K445="",L445=""),"",L445-K445)</x:f>
      </x:c>
      <x:c r="N445" s="16" t="str">
        <x:f>IF(AND(A445=A444,ISNUMBER(K445),ISNUMBER(K444)),K445-K444,"")</x:f>
      </x:c>
      <x:c r="O445" s="13" t="str">
        <x:v>Sem informação</x:v>
      </x:c>
      <x:c r="P445" s="26"/>
      <x:c r="Q445" s="13"/>
      <x:c r="R445" s="13"/>
      <x:c r="S445" s="13"/>
      <x:c r="T445" s="13"/>
    </x:row>
    <x:row r="446">
      <x:c r="A446" s="13" t="str">
        <x:v>Kaiki Bruno</x:v>
      </x:c>
      <x:c r="B446" s="13" t="n">
        <x:v>2027</x:v>
      </x:c>
      <x:c r="C446" s="13" t="str">
        <x:v>T1</x:v>
      </x:c>
      <x:c r="D446" s="24" t="n">
        <x:v>46477</x:v>
      </x:c>
      <x:c r="E446" s="13" t="str">
        <x:v>Lateral-esquerdo</x:v>
      </x:c>
      <x:c r="F446" s="13" t="str">
        <x:v>Cruzeiro</x:v>
      </x:c>
      <x:c r="G446" s="16"/>
      <x:c r="H446" s="16"/>
      <x:c r="I446" s="16"/>
      <x:c r="J446" s="16"/>
      <x:c r="K446" s="16" t="str">
        <x:f>IF(COUNT(G446,I446)=0,"",AVERAGE(G446,I446))</x:f>
      </x:c>
      <x:c r="L446" s="16" t="str">
        <x:f>IF(COUNT(H446,J446)=0,"",AVERAGE(H446,J446))</x:f>
      </x:c>
      <x:c r="M446" s="16" t="str">
        <x:f>IF(OR(K446="",L446=""),"",L446-K446)</x:f>
      </x:c>
      <x:c r="N446" s="16" t="str">
        <x:f>IF(AND(A446=A445,ISNUMBER(K446),ISNUMBER(K445)),K446-K445,"")</x:f>
      </x:c>
      <x:c r="O446" s="13" t="str">
        <x:v>Sem informação</x:v>
      </x:c>
      <x:c r="P446" s="26"/>
      <x:c r="Q446" s="13"/>
      <x:c r="R446" s="13"/>
      <x:c r="S446" s="13"/>
      <x:c r="T446" s="13"/>
    </x:row>
    <x:row r="447">
      <x:c r="A447" s="13" t="str">
        <x:v>Kaiki Bruno</x:v>
      </x:c>
      <x:c r="B447" s="13" t="n">
        <x:v>2027</x:v>
      </x:c>
      <x:c r="C447" s="13" t="str">
        <x:v>T2</x:v>
      </x:c>
      <x:c r="D447" s="24" t="n">
        <x:v>46568</x:v>
      </x:c>
      <x:c r="E447" s="13" t="str">
        <x:v>Lateral-esquerdo</x:v>
      </x:c>
      <x:c r="F447" s="13" t="str">
        <x:v>Cruzeiro</x:v>
      </x:c>
      <x:c r="G447" s="16"/>
      <x:c r="H447" s="16"/>
      <x:c r="I447" s="16"/>
      <x:c r="J447" s="16"/>
      <x:c r="K447" s="16" t="str">
        <x:f>IF(COUNT(G447,I447)=0,"",AVERAGE(G447,I447))</x:f>
      </x:c>
      <x:c r="L447" s="16" t="str">
        <x:f>IF(COUNT(H447,J447)=0,"",AVERAGE(H447,J447))</x:f>
      </x:c>
      <x:c r="M447" s="16" t="str">
        <x:f>IF(OR(K447="",L447=""),"",L447-K447)</x:f>
      </x:c>
      <x:c r="N447" s="16" t="str">
        <x:f>IF(AND(A447=A446,ISNUMBER(K447),ISNUMBER(K446)),K447-K446,"")</x:f>
      </x:c>
      <x:c r="O447" s="13" t="str">
        <x:v>Sem informação</x:v>
      </x:c>
      <x:c r="P447" s="26"/>
      <x:c r="Q447" s="13"/>
      <x:c r="R447" s="13"/>
      <x:c r="S447" s="13"/>
      <x:c r="T447" s="13"/>
    </x:row>
    <x:row r="448">
      <x:c r="A448" s="13" t="str">
        <x:v>Kaiki Bruno</x:v>
      </x:c>
      <x:c r="B448" s="13" t="n">
        <x:v>2027</x:v>
      </x:c>
      <x:c r="C448" s="13" t="str">
        <x:v>T3</x:v>
      </x:c>
      <x:c r="D448" s="24" t="n">
        <x:v>46660</x:v>
      </x:c>
      <x:c r="E448" s="13" t="str">
        <x:v>Lateral-esquerdo</x:v>
      </x:c>
      <x:c r="F448" s="13" t="str">
        <x:v>Cruzeiro</x:v>
      </x:c>
      <x:c r="G448" s="16"/>
      <x:c r="H448" s="16"/>
      <x:c r="I448" s="16"/>
      <x:c r="J448" s="16"/>
      <x:c r="K448" s="16" t="str">
        <x:f>IF(COUNT(G448,I448)=0,"",AVERAGE(G448,I448))</x:f>
      </x:c>
      <x:c r="L448" s="16" t="str">
        <x:f>IF(COUNT(H448,J448)=0,"",AVERAGE(H448,J448))</x:f>
      </x:c>
      <x:c r="M448" s="16" t="str">
        <x:f>IF(OR(K448="",L448=""),"",L448-K448)</x:f>
      </x:c>
      <x:c r="N448" s="16" t="str">
        <x:f>IF(AND(A448=A447,ISNUMBER(K448),ISNUMBER(K447)),K448-K447,"")</x:f>
      </x:c>
      <x:c r="O448" s="13" t="str">
        <x:v>Sem informação</x:v>
      </x:c>
      <x:c r="P448" s="26"/>
      <x:c r="Q448" s="13"/>
      <x:c r="R448" s="13"/>
      <x:c r="S448" s="13"/>
      <x:c r="T448" s="13"/>
    </x:row>
    <x:row r="449">
      <x:c r="A449" s="13" t="str">
        <x:v>Kaiki Bruno</x:v>
      </x:c>
      <x:c r="B449" s="13" t="n">
        <x:v>2027</x:v>
      </x:c>
      <x:c r="C449" s="13" t="str">
        <x:v>T4</x:v>
      </x:c>
      <x:c r="D449" s="24" t="n">
        <x:v>46752</x:v>
      </x:c>
      <x:c r="E449" s="13" t="str">
        <x:v>Lateral-esquerdo</x:v>
      </x:c>
      <x:c r="F449" s="13" t="str">
        <x:v>Cruzeiro</x:v>
      </x:c>
      <x:c r="G449" s="16"/>
      <x:c r="H449" s="16"/>
      <x:c r="I449" s="16"/>
      <x:c r="J449" s="16"/>
      <x:c r="K449" s="16" t="str">
        <x:f>IF(COUNT(G449,I449)=0,"",AVERAGE(G449,I449))</x:f>
      </x:c>
      <x:c r="L449" s="16" t="str">
        <x:f>IF(COUNT(H449,J449)=0,"",AVERAGE(H449,J449))</x:f>
      </x:c>
      <x:c r="M449" s="16" t="str">
        <x:f>IF(OR(K449="",L449=""),"",L449-K449)</x:f>
      </x:c>
      <x:c r="N449" s="16" t="str">
        <x:f>IF(AND(A449=A448,ISNUMBER(K449),ISNUMBER(K448)),K449-K448,"")</x:f>
      </x:c>
      <x:c r="O449" s="13" t="str">
        <x:v>Sem informação</x:v>
      </x:c>
      <x:c r="P449" s="26"/>
      <x:c r="Q449" s="13"/>
      <x:c r="R449" s="13"/>
      <x:c r="S449" s="13"/>
      <x:c r="T449" s="13"/>
    </x:row>
    <x:row r="450">
      <x:c r="A450" s="13" t="str">
        <x:v>Kaiki Bruno</x:v>
      </x:c>
      <x:c r="B450" s="13" t="n">
        <x:v>2028</x:v>
      </x:c>
      <x:c r="C450" s="13" t="str">
        <x:v>T1</x:v>
      </x:c>
      <x:c r="D450" s="24" t="n">
        <x:v>46843</x:v>
      </x:c>
      <x:c r="E450" s="13" t="str">
        <x:v>Lateral-esquerdo</x:v>
      </x:c>
      <x:c r="F450" s="13" t="str">
        <x:v>Cruzeiro</x:v>
      </x:c>
      <x:c r="G450" s="16"/>
      <x:c r="H450" s="16"/>
      <x:c r="I450" s="16"/>
      <x:c r="J450" s="16"/>
      <x:c r="K450" s="16" t="str">
        <x:f>IF(COUNT(G450,I450)=0,"",AVERAGE(G450,I450))</x:f>
      </x:c>
      <x:c r="L450" s="16" t="str">
        <x:f>IF(COUNT(H450,J450)=0,"",AVERAGE(H450,J450))</x:f>
      </x:c>
      <x:c r="M450" s="16" t="str">
        <x:f>IF(OR(K450="",L450=""),"",L450-K450)</x:f>
      </x:c>
      <x:c r="N450" s="16" t="str">
        <x:f>IF(AND(A450=A449,ISNUMBER(K450),ISNUMBER(K449)),K450-K449,"")</x:f>
      </x:c>
      <x:c r="O450" s="13" t="str">
        <x:v>Sem informação</x:v>
      </x:c>
      <x:c r="P450" s="26"/>
      <x:c r="Q450" s="13"/>
      <x:c r="R450" s="13"/>
      <x:c r="S450" s="13"/>
      <x:c r="T450" s="13"/>
    </x:row>
    <x:row r="451">
      <x:c r="A451" s="13" t="str">
        <x:v>Kaiki Bruno</x:v>
      </x:c>
      <x:c r="B451" s="13" t="n">
        <x:v>2028</x:v>
      </x:c>
      <x:c r="C451" s="13" t="str">
        <x:v>T2</x:v>
      </x:c>
      <x:c r="D451" s="24" t="n">
        <x:v>46934</x:v>
      </x:c>
      <x:c r="E451" s="13" t="str">
        <x:v>Lateral-esquerdo</x:v>
      </x:c>
      <x:c r="F451" s="13" t="str">
        <x:v>Cruzeiro</x:v>
      </x:c>
      <x:c r="G451" s="16"/>
      <x:c r="H451" s="16"/>
      <x:c r="I451" s="16"/>
      <x:c r="J451" s="16"/>
      <x:c r="K451" s="16" t="str">
        <x:f>IF(COUNT(G451,I451)=0,"",AVERAGE(G451,I451))</x:f>
      </x:c>
      <x:c r="L451" s="16" t="str">
        <x:f>IF(COUNT(H451,J451)=0,"",AVERAGE(H451,J451))</x:f>
      </x:c>
      <x:c r="M451" s="16" t="str">
        <x:f>IF(OR(K451="",L451=""),"",L451-K451)</x:f>
      </x:c>
      <x:c r="N451" s="16" t="str">
        <x:f>IF(AND(A451=A450,ISNUMBER(K451),ISNUMBER(K450)),K451-K450,"")</x:f>
      </x:c>
      <x:c r="O451" s="13" t="str">
        <x:v>Sem informação</x:v>
      </x:c>
      <x:c r="P451" s="26"/>
      <x:c r="Q451" s="13"/>
      <x:c r="R451" s="13"/>
      <x:c r="S451" s="13"/>
      <x:c r="T451" s="13"/>
    </x:row>
    <x:row r="452">
      <x:c r="A452" s="13" t="str">
        <x:v>Kaiki Bruno</x:v>
      </x:c>
      <x:c r="B452" s="13" t="n">
        <x:v>2028</x:v>
      </x:c>
      <x:c r="C452" s="13" t="str">
        <x:v>T3</x:v>
      </x:c>
      <x:c r="D452" s="24" t="n">
        <x:v>47026</x:v>
      </x:c>
      <x:c r="E452" s="13" t="str">
        <x:v>Lateral-esquerdo</x:v>
      </x:c>
      <x:c r="F452" s="13" t="str">
        <x:v>Cruzeiro</x:v>
      </x:c>
      <x:c r="G452" s="16"/>
      <x:c r="H452" s="16"/>
      <x:c r="I452" s="16"/>
      <x:c r="J452" s="16"/>
      <x:c r="K452" s="16" t="str">
        <x:f>IF(COUNT(G452,I452)=0,"",AVERAGE(G452,I452))</x:f>
      </x:c>
      <x:c r="L452" s="16" t="str">
        <x:f>IF(COUNT(H452,J452)=0,"",AVERAGE(H452,J452))</x:f>
      </x:c>
      <x:c r="M452" s="16" t="str">
        <x:f>IF(OR(K452="",L452=""),"",L452-K452)</x:f>
      </x:c>
      <x:c r="N452" s="16" t="str">
        <x:f>IF(AND(A452=A451,ISNUMBER(K452),ISNUMBER(K451)),K452-K451,"")</x:f>
      </x:c>
      <x:c r="O452" s="13" t="str">
        <x:v>Sem informação</x:v>
      </x:c>
      <x:c r="P452" s="26"/>
      <x:c r="Q452" s="13"/>
      <x:c r="R452" s="13"/>
      <x:c r="S452" s="13"/>
      <x:c r="T452" s="13"/>
    </x:row>
    <x:row r="453">
      <x:c r="A453" s="13" t="str">
        <x:v>Kaiki Bruno</x:v>
      </x:c>
      <x:c r="B453" s="13" t="n">
        <x:v>2028</x:v>
      </x:c>
      <x:c r="C453" s="13" t="str">
        <x:v>T4</x:v>
      </x:c>
      <x:c r="D453" s="24" t="n">
        <x:v>47118</x:v>
      </x:c>
      <x:c r="E453" s="13" t="str">
        <x:v>Lateral-esquerdo</x:v>
      </x:c>
      <x:c r="F453" s="13" t="str">
        <x:v>Cruzeiro</x:v>
      </x:c>
      <x:c r="G453" s="16"/>
      <x:c r="H453" s="16"/>
      <x:c r="I453" s="16"/>
      <x:c r="J453" s="16"/>
      <x:c r="K453" s="16" t="str">
        <x:f>IF(COUNT(G453,I453)=0,"",AVERAGE(G453,I453))</x:f>
      </x:c>
      <x:c r="L453" s="16" t="str">
        <x:f>IF(COUNT(H453,J453)=0,"",AVERAGE(H453,J453))</x:f>
      </x:c>
      <x:c r="M453" s="16" t="str">
        <x:f>IF(OR(K453="",L453=""),"",L453-K453)</x:f>
      </x:c>
      <x:c r="N453" s="16" t="str">
        <x:f>IF(AND(A453=A452,ISNUMBER(K453),ISNUMBER(K452)),K453-K452,"")</x:f>
      </x:c>
      <x:c r="O453" s="13" t="str">
        <x:v>Sem informação</x:v>
      </x:c>
      <x:c r="P453" s="26"/>
      <x:c r="Q453" s="13"/>
      <x:c r="R453" s="13"/>
      <x:c r="S453" s="13"/>
      <x:c r="T453" s="13"/>
    </x:row>
    <x:row r="454">
      <x:c r="A454" s="13" t="str">
        <x:v>Kaiki Bruno</x:v>
      </x:c>
      <x:c r="B454" s="13" t="n">
        <x:v>2029</x:v>
      </x:c>
      <x:c r="C454" s="13" t="str">
        <x:v>T1</x:v>
      </x:c>
      <x:c r="D454" s="24" t="n">
        <x:v>47208</x:v>
      </x:c>
      <x:c r="E454" s="13" t="str">
        <x:v>Lateral-esquerdo</x:v>
      </x:c>
      <x:c r="F454" s="13" t="str">
        <x:v>Cruzeiro</x:v>
      </x:c>
      <x:c r="G454" s="16"/>
      <x:c r="H454" s="16"/>
      <x:c r="I454" s="16"/>
      <x:c r="J454" s="16"/>
      <x:c r="K454" s="16" t="str">
        <x:f>IF(COUNT(G454,I454)=0,"",AVERAGE(G454,I454))</x:f>
      </x:c>
      <x:c r="L454" s="16" t="str">
        <x:f>IF(COUNT(H454,J454)=0,"",AVERAGE(H454,J454))</x:f>
      </x:c>
      <x:c r="M454" s="16" t="str">
        <x:f>IF(OR(K454="",L454=""),"",L454-K454)</x:f>
      </x:c>
      <x:c r="N454" s="16" t="str">
        <x:f>IF(AND(A454=A453,ISNUMBER(K454),ISNUMBER(K453)),K454-K453,"")</x:f>
      </x:c>
      <x:c r="O454" s="13" t="str">
        <x:v>Sem informação</x:v>
      </x:c>
      <x:c r="P454" s="26"/>
      <x:c r="Q454" s="13"/>
      <x:c r="R454" s="13"/>
      <x:c r="S454" s="13"/>
      <x:c r="T454" s="13"/>
    </x:row>
    <x:row r="455">
      <x:c r="A455" s="13" t="str">
        <x:v>Kaiki Bruno</x:v>
      </x:c>
      <x:c r="B455" s="13" t="n">
        <x:v>2029</x:v>
      </x:c>
      <x:c r="C455" s="13" t="str">
        <x:v>T2</x:v>
      </x:c>
      <x:c r="D455" s="24" t="n">
        <x:v>47299</x:v>
      </x:c>
      <x:c r="E455" s="13" t="str">
        <x:v>Lateral-esquerdo</x:v>
      </x:c>
      <x:c r="F455" s="13" t="str">
        <x:v>Cruzeiro</x:v>
      </x:c>
      <x:c r="G455" s="16"/>
      <x:c r="H455" s="16"/>
      <x:c r="I455" s="16"/>
      <x:c r="J455" s="16"/>
      <x:c r="K455" s="16" t="str">
        <x:f>IF(COUNT(G455,I455)=0,"",AVERAGE(G455,I455))</x:f>
      </x:c>
      <x:c r="L455" s="16" t="str">
        <x:f>IF(COUNT(H455,J455)=0,"",AVERAGE(H455,J455))</x:f>
      </x:c>
      <x:c r="M455" s="16" t="str">
        <x:f>IF(OR(K455="",L455=""),"",L455-K455)</x:f>
      </x:c>
      <x:c r="N455" s="16" t="str">
        <x:f>IF(AND(A455=A454,ISNUMBER(K455),ISNUMBER(K454)),K455-K454,"")</x:f>
      </x:c>
      <x:c r="O455" s="13" t="str">
        <x:v>Sem informação</x:v>
      </x:c>
      <x:c r="P455" s="26"/>
      <x:c r="Q455" s="13"/>
      <x:c r="R455" s="13"/>
      <x:c r="S455" s="13"/>
      <x:c r="T455" s="13"/>
    </x:row>
    <x:row r="456">
      <x:c r="A456" s="13" t="str">
        <x:v>Kaiki Bruno</x:v>
      </x:c>
      <x:c r="B456" s="13" t="n">
        <x:v>2029</x:v>
      </x:c>
      <x:c r="C456" s="13" t="str">
        <x:v>T3</x:v>
      </x:c>
      <x:c r="D456" s="24" t="n">
        <x:v>47391</x:v>
      </x:c>
      <x:c r="E456" s="13" t="str">
        <x:v>Lateral-esquerdo</x:v>
      </x:c>
      <x:c r="F456" s="13" t="str">
        <x:v>Cruzeiro</x:v>
      </x:c>
      <x:c r="G456" s="16"/>
      <x:c r="H456" s="16"/>
      <x:c r="I456" s="16"/>
      <x:c r="J456" s="16"/>
      <x:c r="K456" s="16" t="str">
        <x:f>IF(COUNT(G456,I456)=0,"",AVERAGE(G456,I456))</x:f>
      </x:c>
      <x:c r="L456" s="16" t="str">
        <x:f>IF(COUNT(H456,J456)=0,"",AVERAGE(H456,J456))</x:f>
      </x:c>
      <x:c r="M456" s="16" t="str">
        <x:f>IF(OR(K456="",L456=""),"",L456-K456)</x:f>
      </x:c>
      <x:c r="N456" s="16" t="str">
        <x:f>IF(AND(A456=A455,ISNUMBER(K456),ISNUMBER(K455)),K456-K455,"")</x:f>
      </x:c>
      <x:c r="O456" s="13" t="str">
        <x:v>Sem informação</x:v>
      </x:c>
      <x:c r="P456" s="26"/>
      <x:c r="Q456" s="13"/>
      <x:c r="R456" s="13"/>
      <x:c r="S456" s="13"/>
      <x:c r="T456" s="13"/>
    </x:row>
    <x:row r="457">
      <x:c r="A457" s="13" t="str">
        <x:v>Kaiki Bruno</x:v>
      </x:c>
      <x:c r="B457" s="13" t="n">
        <x:v>2029</x:v>
      </x:c>
      <x:c r="C457" s="13" t="str">
        <x:v>T4</x:v>
      </x:c>
      <x:c r="D457" s="24" t="n">
        <x:v>47483</x:v>
      </x:c>
      <x:c r="E457" s="13" t="str">
        <x:v>Lateral-esquerdo</x:v>
      </x:c>
      <x:c r="F457" s="13" t="str">
        <x:v>Cruzeiro</x:v>
      </x:c>
      <x:c r="G457" s="16"/>
      <x:c r="H457" s="16"/>
      <x:c r="I457" s="16"/>
      <x:c r="J457" s="16"/>
      <x:c r="K457" s="16" t="str">
        <x:f>IF(COUNT(G457,I457)=0,"",AVERAGE(G457,I457))</x:f>
      </x:c>
      <x:c r="L457" s="16" t="str">
        <x:f>IF(COUNT(H457,J457)=0,"",AVERAGE(H457,J457))</x:f>
      </x:c>
      <x:c r="M457" s="16" t="str">
        <x:f>IF(OR(K457="",L457=""),"",L457-K457)</x:f>
      </x:c>
      <x:c r="N457" s="16" t="str">
        <x:f>IF(AND(A457=A456,ISNUMBER(K457),ISNUMBER(K456)),K457-K456,"")</x:f>
      </x:c>
      <x:c r="O457" s="13" t="str">
        <x:v>Sem informação</x:v>
      </x:c>
      <x:c r="P457" s="26"/>
      <x:c r="Q457" s="13"/>
      <x:c r="R457" s="13"/>
      <x:c r="S457" s="13"/>
      <x:c r="T457" s="13"/>
    </x:row>
    <x:row r="458">
      <x:c r="A458" s="13" t="str">
        <x:v>Kaiki Bruno</x:v>
      </x:c>
      <x:c r="B458" s="13" t="n">
        <x:v>2030</x:v>
      </x:c>
      <x:c r="C458" s="13" t="str">
        <x:v>T1</x:v>
      </x:c>
      <x:c r="D458" s="24" t="n">
        <x:v>47573</x:v>
      </x:c>
      <x:c r="E458" s="13" t="str">
        <x:v>Lateral-esquerdo</x:v>
      </x:c>
      <x:c r="F458" s="13" t="str">
        <x:v>Cruzeiro</x:v>
      </x:c>
      <x:c r="G458" s="16"/>
      <x:c r="H458" s="16"/>
      <x:c r="I458" s="16"/>
      <x:c r="J458" s="16"/>
      <x:c r="K458" s="16" t="str">
        <x:f>IF(COUNT(G458,I458)=0,"",AVERAGE(G458,I458))</x:f>
      </x:c>
      <x:c r="L458" s="16" t="str">
        <x:f>IF(COUNT(H458,J458)=0,"",AVERAGE(H458,J458))</x:f>
      </x:c>
      <x:c r="M458" s="16" t="str">
        <x:f>IF(OR(K458="",L458=""),"",L458-K458)</x:f>
      </x:c>
      <x:c r="N458" s="16" t="str">
        <x:f>IF(AND(A458=A457,ISNUMBER(K458),ISNUMBER(K457)),K458-K457,"")</x:f>
      </x:c>
      <x:c r="O458" s="13" t="str">
        <x:v>Sem informação</x:v>
      </x:c>
      <x:c r="P458" s="26"/>
      <x:c r="Q458" s="13"/>
      <x:c r="R458" s="13"/>
      <x:c r="S458" s="13"/>
      <x:c r="T458" s="13"/>
    </x:row>
    <x:row r="459">
      <x:c r="A459" s="13" t="str">
        <x:v>Kaiki Bruno</x:v>
      </x:c>
      <x:c r="B459" s="13" t="n">
        <x:v>2030</x:v>
      </x:c>
      <x:c r="C459" s="13" t="str">
        <x:v>T2</x:v>
      </x:c>
      <x:c r="D459" s="24" t="n">
        <x:v>47664</x:v>
      </x:c>
      <x:c r="E459" s="13" t="str">
        <x:v>Lateral-esquerdo</x:v>
      </x:c>
      <x:c r="F459" s="13" t="str">
        <x:v>Cruzeiro</x:v>
      </x:c>
      <x:c r="G459" s="16"/>
      <x:c r="H459" s="16"/>
      <x:c r="I459" s="16"/>
      <x:c r="J459" s="16"/>
      <x:c r="K459" s="16" t="str">
        <x:f>IF(COUNT(G459,I459)=0,"",AVERAGE(G459,I459))</x:f>
      </x:c>
      <x:c r="L459" s="16" t="str">
        <x:f>IF(COUNT(H459,J459)=0,"",AVERAGE(H459,J459))</x:f>
      </x:c>
      <x:c r="M459" s="16" t="str">
        <x:f>IF(OR(K459="",L459=""),"",L459-K459)</x:f>
      </x:c>
      <x:c r="N459" s="16" t="str">
        <x:f>IF(AND(A459=A458,ISNUMBER(K459),ISNUMBER(K458)),K459-K458,"")</x:f>
      </x:c>
      <x:c r="O459" s="13" t="str">
        <x:v>Sem informação</x:v>
      </x:c>
      <x:c r="P459" s="26"/>
      <x:c r="Q459" s="13"/>
      <x:c r="R459" s="13"/>
      <x:c r="S459" s="13"/>
      <x:c r="T459" s="13"/>
    </x:row>
    <x:row r="460">
      <x:c r="A460" s="13" t="str">
        <x:v>Kaiki Bruno</x:v>
      </x:c>
      <x:c r="B460" s="13" t="n">
        <x:v>2030</x:v>
      </x:c>
      <x:c r="C460" s="13" t="str">
        <x:v>T3</x:v>
      </x:c>
      <x:c r="D460" s="24" t="n">
        <x:v>47756</x:v>
      </x:c>
      <x:c r="E460" s="13" t="str">
        <x:v>Lateral-esquerdo</x:v>
      </x:c>
      <x:c r="F460" s="13" t="str">
        <x:v>Cruzeiro</x:v>
      </x:c>
      <x:c r="G460" s="16"/>
      <x:c r="H460" s="16"/>
      <x:c r="I460" s="16"/>
      <x:c r="J460" s="16"/>
      <x:c r="K460" s="16" t="str">
        <x:f>IF(COUNT(G460,I460)=0,"",AVERAGE(G460,I460))</x:f>
      </x:c>
      <x:c r="L460" s="16" t="str">
        <x:f>IF(COUNT(H460,J460)=0,"",AVERAGE(H460,J460))</x:f>
      </x:c>
      <x:c r="M460" s="16" t="str">
        <x:f>IF(OR(K460="",L460=""),"",L460-K460)</x:f>
      </x:c>
      <x:c r="N460" s="16" t="str">
        <x:f>IF(AND(A460=A459,ISNUMBER(K460),ISNUMBER(K459)),K460-K459,"")</x:f>
      </x:c>
      <x:c r="O460" s="13" t="str">
        <x:v>Sem informação</x:v>
      </x:c>
      <x:c r="P460" s="26"/>
      <x:c r="Q460" s="13"/>
      <x:c r="R460" s="13"/>
      <x:c r="S460" s="13"/>
      <x:c r="T460" s="13"/>
    </x:row>
    <x:row r="461">
      <x:c r="A461" s="13" t="str">
        <x:v>Kaiki Bruno</x:v>
      </x:c>
      <x:c r="B461" s="13" t="n">
        <x:v>2030</x:v>
      </x:c>
      <x:c r="C461" s="13" t="str">
        <x:v>T4</x:v>
      </x:c>
      <x:c r="D461" s="24" t="n">
        <x:v>47848</x:v>
      </x:c>
      <x:c r="E461" s="13" t="str">
        <x:v>Lateral-esquerdo</x:v>
      </x:c>
      <x:c r="F461" s="13" t="str">
        <x:v>Cruzeiro</x:v>
      </x:c>
      <x:c r="G461" s="16"/>
      <x:c r="H461" s="16"/>
      <x:c r="I461" s="16"/>
      <x:c r="J461" s="16"/>
      <x:c r="K461" s="16" t="str">
        <x:f>IF(COUNT(G461,I461)=0,"",AVERAGE(G461,I461))</x:f>
      </x:c>
      <x:c r="L461" s="16" t="str">
        <x:f>IF(COUNT(H461,J461)=0,"",AVERAGE(H461,J461))</x:f>
      </x:c>
      <x:c r="M461" s="16" t="str">
        <x:f>IF(OR(K461="",L461=""),"",L461-K461)</x:f>
      </x:c>
      <x:c r="N461" s="16" t="str">
        <x:f>IF(AND(A461=A460,ISNUMBER(K461),ISNUMBER(K460)),K461-K460,"")</x:f>
      </x:c>
      <x:c r="O461" s="13" t="str">
        <x:v>Sem informação</x:v>
      </x:c>
      <x:c r="P461" s="26"/>
      <x:c r="Q461" s="13"/>
      <x:c r="R461" s="13"/>
      <x:c r="S461" s="13"/>
      <x:c r="T461" s="13"/>
    </x:row>
    <x:row r="462">
      <x:c r="A462" s="13" t="str">
        <x:v>Kauã Elias</x:v>
      </x:c>
      <x:c r="B462" s="13" t="n">
        <x:v>2026</x:v>
      </x:c>
      <x:c r="C462" s="13" t="str">
        <x:v>T1</x:v>
      </x:c>
      <x:c r="D462" s="24" t="n">
        <x:v>46112</x:v>
      </x:c>
      <x:c r="E462" s="13" t="str">
        <x:v>Centroavante</x:v>
      </x:c>
      <x:c r="F462" s="13" t="str">
        <x:v>Shakhtar Donetsk</x:v>
      </x:c>
      <x:c r="G462" s="16"/>
      <x:c r="H462" s="16"/>
      <x:c r="I462" s="16"/>
      <x:c r="J462" s="16"/>
      <x:c r="K462" s="16" t="str">
        <x:f>IF(COUNT(G462,I462)=0,"",AVERAGE(G462,I462))</x:f>
      </x:c>
      <x:c r="L462" s="16" t="str">
        <x:f>IF(COUNT(H462,J462)=0,"",AVERAGE(H462,J462))</x:f>
      </x:c>
      <x:c r="M462" s="16" t="str">
        <x:f>IF(OR(K462="",L462=""),"",L462-K462)</x:f>
      </x:c>
      <x:c r="N462" s="16" t="str">
        <x:f>IF(AND(A462=A461,ISNUMBER(K462),ISNUMBER(K461)),K462-K461,"")</x:f>
      </x:c>
      <x:c r="O462" s="13" t="str">
        <x:v>Sem informação</x:v>
      </x:c>
      <x:c r="P462" s="26"/>
      <x:c r="Q462" s="13"/>
      <x:c r="R462" s="13"/>
      <x:c r="S462" s="13"/>
      <x:c r="T462" s="13"/>
    </x:row>
    <x:row r="463">
      <x:c r="A463" s="13" t="str">
        <x:v>Kauã Elias</x:v>
      </x:c>
      <x:c r="B463" s="13" t="n">
        <x:v>2026</x:v>
      </x:c>
      <x:c r="C463" s="13" t="str">
        <x:v>T2</x:v>
      </x:c>
      <x:c r="D463" s="24" t="n">
        <x:v>46203</x:v>
      </x:c>
      <x:c r="E463" s="13" t="str">
        <x:v>Centroavante</x:v>
      </x:c>
      <x:c r="F463" s="13" t="str">
        <x:v>Shakhtar Donetsk</x:v>
      </x:c>
      <x:c r="G463" s="16"/>
      <x:c r="H463" s="16"/>
      <x:c r="I463" s="16"/>
      <x:c r="J463" s="16"/>
      <x:c r="K463" s="16" t="str">
        <x:f>IF(COUNT(G463,I463)=0,"",AVERAGE(G463,I463))</x:f>
      </x:c>
      <x:c r="L463" s="16" t="str">
        <x:f>IF(COUNT(H463,J463)=0,"",AVERAGE(H463,J463))</x:f>
      </x:c>
      <x:c r="M463" s="16" t="str">
        <x:f>IF(OR(K463="",L463=""),"",L463-K463)</x:f>
      </x:c>
      <x:c r="N463" s="16" t="str">
        <x:f>IF(AND(A463=A462,ISNUMBER(K463),ISNUMBER(K462)),K463-K462,"")</x:f>
      </x:c>
      <x:c r="O463" s="13" t="str">
        <x:v>Sem informação</x:v>
      </x:c>
      <x:c r="P463" s="26"/>
      <x:c r="Q463" s="13"/>
      <x:c r="R463" s="13"/>
      <x:c r="S463" s="13"/>
      <x:c r="T463" s="13"/>
    </x:row>
    <x:row r="464">
      <x:c r="A464" s="13" t="str">
        <x:v>Kauã Elias</x:v>
      </x:c>
      <x:c r="B464" s="13" t="n">
        <x:v>2026</x:v>
      </x:c>
      <x:c r="C464" s="13" t="str">
        <x:v>T3</x:v>
      </x:c>
      <x:c r="D464" s="24" t="n">
        <x:v>46295</x:v>
      </x:c>
      <x:c r="E464" s="13" t="str">
        <x:v>Centroavante</x:v>
      </x:c>
      <x:c r="F464" s="13" t="str">
        <x:v>Shakhtar Donetsk</x:v>
      </x:c>
      <x:c r="G464" s="16"/>
      <x:c r="H464" s="16"/>
      <x:c r="I464" s="16"/>
      <x:c r="J464" s="16"/>
      <x:c r="K464" s="16" t="str">
        <x:f>IF(COUNT(G464,I464)=0,"",AVERAGE(G464,I464))</x:f>
      </x:c>
      <x:c r="L464" s="16" t="str">
        <x:f>IF(COUNT(H464,J464)=0,"",AVERAGE(H464,J464))</x:f>
      </x:c>
      <x:c r="M464" s="16" t="str">
        <x:f>IF(OR(K464="",L464=""),"",L464-K464)</x:f>
      </x:c>
      <x:c r="N464" s="16" t="str">
        <x:f>IF(AND(A464=A463,ISNUMBER(K464),ISNUMBER(K463)),K464-K463,"")</x:f>
      </x:c>
      <x:c r="O464" s="13" t="str">
        <x:v>Sem informação</x:v>
      </x:c>
      <x:c r="P464" s="26"/>
      <x:c r="Q464" s="13"/>
      <x:c r="R464" s="13"/>
      <x:c r="S464" s="13"/>
      <x:c r="T464" s="13"/>
    </x:row>
    <x:row r="465">
      <x:c r="A465" s="13" t="str">
        <x:v>Kauã Elias</x:v>
      </x:c>
      <x:c r="B465" s="13" t="n">
        <x:v>2026</x:v>
      </x:c>
      <x:c r="C465" s="13" t="str">
        <x:v>T4</x:v>
      </x:c>
      <x:c r="D465" s="24" t="n">
        <x:v>46387</x:v>
      </x:c>
      <x:c r="E465" s="13" t="str">
        <x:v>Centroavante</x:v>
      </x:c>
      <x:c r="F465" s="13" t="str">
        <x:v>Shakhtar Donetsk</x:v>
      </x:c>
      <x:c r="G465" s="16"/>
      <x:c r="H465" s="16"/>
      <x:c r="I465" s="16"/>
      <x:c r="J465" s="16"/>
      <x:c r="K465" s="16" t="str">
        <x:f>IF(COUNT(G465,I465)=0,"",AVERAGE(G465,I465))</x:f>
      </x:c>
      <x:c r="L465" s="16" t="str">
        <x:f>IF(COUNT(H465,J465)=0,"",AVERAGE(H465,J465))</x:f>
      </x:c>
      <x:c r="M465" s="16" t="str">
        <x:f>IF(OR(K465="",L465=""),"",L465-K465)</x:f>
      </x:c>
      <x:c r="N465" s="16" t="str">
        <x:f>IF(AND(A465=A464,ISNUMBER(K465),ISNUMBER(K464)),K465-K464,"")</x:f>
      </x:c>
      <x:c r="O465" s="13" t="str">
        <x:v>Sem informação</x:v>
      </x:c>
      <x:c r="P465" s="26"/>
      <x:c r="Q465" s="13"/>
      <x:c r="R465" s="13"/>
      <x:c r="S465" s="13"/>
      <x:c r="T465" s="13"/>
    </x:row>
    <x:row r="466">
      <x:c r="A466" s="13" t="str">
        <x:v>Kauã Elias</x:v>
      </x:c>
      <x:c r="B466" s="13" t="n">
        <x:v>2027</x:v>
      </x:c>
      <x:c r="C466" s="13" t="str">
        <x:v>T1</x:v>
      </x:c>
      <x:c r="D466" s="24" t="n">
        <x:v>46477</x:v>
      </x:c>
      <x:c r="E466" s="13" t="str">
        <x:v>Centroavante</x:v>
      </x:c>
      <x:c r="F466" s="13" t="str">
        <x:v>Shakhtar Donetsk</x:v>
      </x:c>
      <x:c r="G466" s="16"/>
      <x:c r="H466" s="16"/>
      <x:c r="I466" s="16"/>
      <x:c r="J466" s="16"/>
      <x:c r="K466" s="16" t="str">
        <x:f>IF(COUNT(G466,I466)=0,"",AVERAGE(G466,I466))</x:f>
      </x:c>
      <x:c r="L466" s="16" t="str">
        <x:f>IF(COUNT(H466,J466)=0,"",AVERAGE(H466,J466))</x:f>
      </x:c>
      <x:c r="M466" s="16" t="str">
        <x:f>IF(OR(K466="",L466=""),"",L466-K466)</x:f>
      </x:c>
      <x:c r="N466" s="16" t="str">
        <x:f>IF(AND(A466=A465,ISNUMBER(K466),ISNUMBER(K465)),K466-K465,"")</x:f>
      </x:c>
      <x:c r="O466" s="13" t="str">
        <x:v>Sem informação</x:v>
      </x:c>
      <x:c r="P466" s="26"/>
      <x:c r="Q466" s="13"/>
      <x:c r="R466" s="13"/>
      <x:c r="S466" s="13"/>
      <x:c r="T466" s="13"/>
    </x:row>
    <x:row r="467">
      <x:c r="A467" s="13" t="str">
        <x:v>Kauã Elias</x:v>
      </x:c>
      <x:c r="B467" s="13" t="n">
        <x:v>2027</x:v>
      </x:c>
      <x:c r="C467" s="13" t="str">
        <x:v>T2</x:v>
      </x:c>
      <x:c r="D467" s="24" t="n">
        <x:v>46568</x:v>
      </x:c>
      <x:c r="E467" s="13" t="str">
        <x:v>Centroavante</x:v>
      </x:c>
      <x:c r="F467" s="13" t="str">
        <x:v>Shakhtar Donetsk</x:v>
      </x:c>
      <x:c r="G467" s="16"/>
      <x:c r="H467" s="16"/>
      <x:c r="I467" s="16"/>
      <x:c r="J467" s="16"/>
      <x:c r="K467" s="16" t="str">
        <x:f>IF(COUNT(G467,I467)=0,"",AVERAGE(G467,I467))</x:f>
      </x:c>
      <x:c r="L467" s="16" t="str">
        <x:f>IF(COUNT(H467,J467)=0,"",AVERAGE(H467,J467))</x:f>
      </x:c>
      <x:c r="M467" s="16" t="str">
        <x:f>IF(OR(K467="",L467=""),"",L467-K467)</x:f>
      </x:c>
      <x:c r="N467" s="16" t="str">
        <x:f>IF(AND(A467=A466,ISNUMBER(K467),ISNUMBER(K466)),K467-K466,"")</x:f>
      </x:c>
      <x:c r="O467" s="13" t="str">
        <x:v>Sem informação</x:v>
      </x:c>
      <x:c r="P467" s="26"/>
      <x:c r="Q467" s="13"/>
      <x:c r="R467" s="13"/>
      <x:c r="S467" s="13"/>
      <x:c r="T467" s="13"/>
    </x:row>
    <x:row r="468">
      <x:c r="A468" s="13" t="str">
        <x:v>Kauã Elias</x:v>
      </x:c>
      <x:c r="B468" s="13" t="n">
        <x:v>2027</x:v>
      </x:c>
      <x:c r="C468" s="13" t="str">
        <x:v>T3</x:v>
      </x:c>
      <x:c r="D468" s="24" t="n">
        <x:v>46660</x:v>
      </x:c>
      <x:c r="E468" s="13" t="str">
        <x:v>Centroavante</x:v>
      </x:c>
      <x:c r="F468" s="13" t="str">
        <x:v>Shakhtar Donetsk</x:v>
      </x:c>
      <x:c r="G468" s="16"/>
      <x:c r="H468" s="16"/>
      <x:c r="I468" s="16"/>
      <x:c r="J468" s="16"/>
      <x:c r="K468" s="16" t="str">
        <x:f>IF(COUNT(G468,I468)=0,"",AVERAGE(G468,I468))</x:f>
      </x:c>
      <x:c r="L468" s="16" t="str">
        <x:f>IF(COUNT(H468,J468)=0,"",AVERAGE(H468,J468))</x:f>
      </x:c>
      <x:c r="M468" s="16" t="str">
        <x:f>IF(OR(K468="",L468=""),"",L468-K468)</x:f>
      </x:c>
      <x:c r="N468" s="16" t="str">
        <x:f>IF(AND(A468=A467,ISNUMBER(K468),ISNUMBER(K467)),K468-K467,"")</x:f>
      </x:c>
      <x:c r="O468" s="13" t="str">
        <x:v>Sem informação</x:v>
      </x:c>
      <x:c r="P468" s="26"/>
      <x:c r="Q468" s="13"/>
      <x:c r="R468" s="13"/>
      <x:c r="S468" s="13"/>
      <x:c r="T468" s="13"/>
    </x:row>
    <x:row r="469">
      <x:c r="A469" s="13" t="str">
        <x:v>Kauã Elias</x:v>
      </x:c>
      <x:c r="B469" s="13" t="n">
        <x:v>2027</x:v>
      </x:c>
      <x:c r="C469" s="13" t="str">
        <x:v>T4</x:v>
      </x:c>
      <x:c r="D469" s="24" t="n">
        <x:v>46752</x:v>
      </x:c>
      <x:c r="E469" s="13" t="str">
        <x:v>Centroavante</x:v>
      </x:c>
      <x:c r="F469" s="13" t="str">
        <x:v>Shakhtar Donetsk</x:v>
      </x:c>
      <x:c r="G469" s="16"/>
      <x:c r="H469" s="16"/>
      <x:c r="I469" s="16"/>
      <x:c r="J469" s="16"/>
      <x:c r="K469" s="16" t="str">
        <x:f>IF(COUNT(G469,I469)=0,"",AVERAGE(G469,I469))</x:f>
      </x:c>
      <x:c r="L469" s="16" t="str">
        <x:f>IF(COUNT(H469,J469)=0,"",AVERAGE(H469,J469))</x:f>
      </x:c>
      <x:c r="M469" s="16" t="str">
        <x:f>IF(OR(K469="",L469=""),"",L469-K469)</x:f>
      </x:c>
      <x:c r="N469" s="16" t="str">
        <x:f>IF(AND(A469=A468,ISNUMBER(K469),ISNUMBER(K468)),K469-K468,"")</x:f>
      </x:c>
      <x:c r="O469" s="13" t="str">
        <x:v>Sem informação</x:v>
      </x:c>
      <x:c r="P469" s="26"/>
      <x:c r="Q469" s="13"/>
      <x:c r="R469" s="13"/>
      <x:c r="S469" s="13"/>
      <x:c r="T469" s="13"/>
    </x:row>
    <x:row r="470">
      <x:c r="A470" s="13" t="str">
        <x:v>Kauã Elias</x:v>
      </x:c>
      <x:c r="B470" s="13" t="n">
        <x:v>2028</x:v>
      </x:c>
      <x:c r="C470" s="13" t="str">
        <x:v>T1</x:v>
      </x:c>
      <x:c r="D470" s="24" t="n">
        <x:v>46843</x:v>
      </x:c>
      <x:c r="E470" s="13" t="str">
        <x:v>Centroavante</x:v>
      </x:c>
      <x:c r="F470" s="13" t="str">
        <x:v>Shakhtar Donetsk</x:v>
      </x:c>
      <x:c r="G470" s="16"/>
      <x:c r="H470" s="16"/>
      <x:c r="I470" s="16"/>
      <x:c r="J470" s="16"/>
      <x:c r="K470" s="16" t="str">
        <x:f>IF(COUNT(G470,I470)=0,"",AVERAGE(G470,I470))</x:f>
      </x:c>
      <x:c r="L470" s="16" t="str">
        <x:f>IF(COUNT(H470,J470)=0,"",AVERAGE(H470,J470))</x:f>
      </x:c>
      <x:c r="M470" s="16" t="str">
        <x:f>IF(OR(K470="",L470=""),"",L470-K470)</x:f>
      </x:c>
      <x:c r="N470" s="16" t="str">
        <x:f>IF(AND(A470=A469,ISNUMBER(K470),ISNUMBER(K469)),K470-K469,"")</x:f>
      </x:c>
      <x:c r="O470" s="13" t="str">
        <x:v>Sem informação</x:v>
      </x:c>
      <x:c r="P470" s="26"/>
      <x:c r="Q470" s="13"/>
      <x:c r="R470" s="13"/>
      <x:c r="S470" s="13"/>
      <x:c r="T470" s="13"/>
    </x:row>
    <x:row r="471">
      <x:c r="A471" s="13" t="str">
        <x:v>Kauã Elias</x:v>
      </x:c>
      <x:c r="B471" s="13" t="n">
        <x:v>2028</x:v>
      </x:c>
      <x:c r="C471" s="13" t="str">
        <x:v>T2</x:v>
      </x:c>
      <x:c r="D471" s="24" t="n">
        <x:v>46934</x:v>
      </x:c>
      <x:c r="E471" s="13" t="str">
        <x:v>Centroavante</x:v>
      </x:c>
      <x:c r="F471" s="13" t="str">
        <x:v>Shakhtar Donetsk</x:v>
      </x:c>
      <x:c r="G471" s="16"/>
      <x:c r="H471" s="16"/>
      <x:c r="I471" s="16"/>
      <x:c r="J471" s="16"/>
      <x:c r="K471" s="16" t="str">
        <x:f>IF(COUNT(G471,I471)=0,"",AVERAGE(G471,I471))</x:f>
      </x:c>
      <x:c r="L471" s="16" t="str">
        <x:f>IF(COUNT(H471,J471)=0,"",AVERAGE(H471,J471))</x:f>
      </x:c>
      <x:c r="M471" s="16" t="str">
        <x:f>IF(OR(K471="",L471=""),"",L471-K471)</x:f>
      </x:c>
      <x:c r="N471" s="16" t="str">
        <x:f>IF(AND(A471=A470,ISNUMBER(K471),ISNUMBER(K470)),K471-K470,"")</x:f>
      </x:c>
      <x:c r="O471" s="13" t="str">
        <x:v>Sem informação</x:v>
      </x:c>
      <x:c r="P471" s="26"/>
      <x:c r="Q471" s="13"/>
      <x:c r="R471" s="13"/>
      <x:c r="S471" s="13"/>
      <x:c r="T471" s="13"/>
    </x:row>
    <x:row r="472">
      <x:c r="A472" s="13" t="str">
        <x:v>Kauã Elias</x:v>
      </x:c>
      <x:c r="B472" s="13" t="n">
        <x:v>2028</x:v>
      </x:c>
      <x:c r="C472" s="13" t="str">
        <x:v>T3</x:v>
      </x:c>
      <x:c r="D472" s="24" t="n">
        <x:v>47026</x:v>
      </x:c>
      <x:c r="E472" s="13" t="str">
        <x:v>Centroavante</x:v>
      </x:c>
      <x:c r="F472" s="13" t="str">
        <x:v>Shakhtar Donetsk</x:v>
      </x:c>
      <x:c r="G472" s="16"/>
      <x:c r="H472" s="16"/>
      <x:c r="I472" s="16"/>
      <x:c r="J472" s="16"/>
      <x:c r="K472" s="16" t="str">
        <x:f>IF(COUNT(G472,I472)=0,"",AVERAGE(G472,I472))</x:f>
      </x:c>
      <x:c r="L472" s="16" t="str">
        <x:f>IF(COUNT(H472,J472)=0,"",AVERAGE(H472,J472))</x:f>
      </x:c>
      <x:c r="M472" s="16" t="str">
        <x:f>IF(OR(K472="",L472=""),"",L472-K472)</x:f>
      </x:c>
      <x:c r="N472" s="16" t="str">
        <x:f>IF(AND(A472=A471,ISNUMBER(K472),ISNUMBER(K471)),K472-K471,"")</x:f>
      </x:c>
      <x:c r="O472" s="13" t="str">
        <x:v>Sem informação</x:v>
      </x:c>
      <x:c r="P472" s="26"/>
      <x:c r="Q472" s="13"/>
      <x:c r="R472" s="13"/>
      <x:c r="S472" s="13"/>
      <x:c r="T472" s="13"/>
    </x:row>
    <x:row r="473">
      <x:c r="A473" s="13" t="str">
        <x:v>Kauã Elias</x:v>
      </x:c>
      <x:c r="B473" s="13" t="n">
        <x:v>2028</x:v>
      </x:c>
      <x:c r="C473" s="13" t="str">
        <x:v>T4</x:v>
      </x:c>
      <x:c r="D473" s="24" t="n">
        <x:v>47118</x:v>
      </x:c>
      <x:c r="E473" s="13" t="str">
        <x:v>Centroavante</x:v>
      </x:c>
      <x:c r="F473" s="13" t="str">
        <x:v>Shakhtar Donetsk</x:v>
      </x:c>
      <x:c r="G473" s="16"/>
      <x:c r="H473" s="16"/>
      <x:c r="I473" s="16"/>
      <x:c r="J473" s="16"/>
      <x:c r="K473" s="16" t="str">
        <x:f>IF(COUNT(G473,I473)=0,"",AVERAGE(G473,I473))</x:f>
      </x:c>
      <x:c r="L473" s="16" t="str">
        <x:f>IF(COUNT(H473,J473)=0,"",AVERAGE(H473,J473))</x:f>
      </x:c>
      <x:c r="M473" s="16" t="str">
        <x:f>IF(OR(K473="",L473=""),"",L473-K473)</x:f>
      </x:c>
      <x:c r="N473" s="16" t="str">
        <x:f>IF(AND(A473=A472,ISNUMBER(K473),ISNUMBER(K472)),K473-K472,"")</x:f>
      </x:c>
      <x:c r="O473" s="13" t="str">
        <x:v>Sem informação</x:v>
      </x:c>
      <x:c r="P473" s="26"/>
      <x:c r="Q473" s="13"/>
      <x:c r="R473" s="13"/>
      <x:c r="S473" s="13"/>
      <x:c r="T473" s="13"/>
    </x:row>
    <x:row r="474">
      <x:c r="A474" s="13" t="str">
        <x:v>Kauã Elias</x:v>
      </x:c>
      <x:c r="B474" s="13" t="n">
        <x:v>2029</x:v>
      </x:c>
      <x:c r="C474" s="13" t="str">
        <x:v>T1</x:v>
      </x:c>
      <x:c r="D474" s="24" t="n">
        <x:v>47208</x:v>
      </x:c>
      <x:c r="E474" s="13" t="str">
        <x:v>Centroavante</x:v>
      </x:c>
      <x:c r="F474" s="13" t="str">
        <x:v>Shakhtar Donetsk</x:v>
      </x:c>
      <x:c r="G474" s="16"/>
      <x:c r="H474" s="16"/>
      <x:c r="I474" s="16"/>
      <x:c r="J474" s="16"/>
      <x:c r="K474" s="16" t="str">
        <x:f>IF(COUNT(G474,I474)=0,"",AVERAGE(G474,I474))</x:f>
      </x:c>
      <x:c r="L474" s="16" t="str">
        <x:f>IF(COUNT(H474,J474)=0,"",AVERAGE(H474,J474))</x:f>
      </x:c>
      <x:c r="M474" s="16" t="str">
        <x:f>IF(OR(K474="",L474=""),"",L474-K474)</x:f>
      </x:c>
      <x:c r="N474" s="16" t="str">
        <x:f>IF(AND(A474=A473,ISNUMBER(K474),ISNUMBER(K473)),K474-K473,"")</x:f>
      </x:c>
      <x:c r="O474" s="13" t="str">
        <x:v>Sem informação</x:v>
      </x:c>
      <x:c r="P474" s="26"/>
      <x:c r="Q474" s="13"/>
      <x:c r="R474" s="13"/>
      <x:c r="S474" s="13"/>
      <x:c r="T474" s="13"/>
    </x:row>
    <x:row r="475">
      <x:c r="A475" s="13" t="str">
        <x:v>Kauã Elias</x:v>
      </x:c>
      <x:c r="B475" s="13" t="n">
        <x:v>2029</x:v>
      </x:c>
      <x:c r="C475" s="13" t="str">
        <x:v>T2</x:v>
      </x:c>
      <x:c r="D475" s="24" t="n">
        <x:v>47299</x:v>
      </x:c>
      <x:c r="E475" s="13" t="str">
        <x:v>Centroavante</x:v>
      </x:c>
      <x:c r="F475" s="13" t="str">
        <x:v>Shakhtar Donetsk</x:v>
      </x:c>
      <x:c r="G475" s="16"/>
      <x:c r="H475" s="16"/>
      <x:c r="I475" s="16"/>
      <x:c r="J475" s="16"/>
      <x:c r="K475" s="16" t="str">
        <x:f>IF(COUNT(G475,I475)=0,"",AVERAGE(G475,I475))</x:f>
      </x:c>
      <x:c r="L475" s="16" t="str">
        <x:f>IF(COUNT(H475,J475)=0,"",AVERAGE(H475,J475))</x:f>
      </x:c>
      <x:c r="M475" s="16" t="str">
        <x:f>IF(OR(K475="",L475=""),"",L475-K475)</x:f>
      </x:c>
      <x:c r="N475" s="16" t="str">
        <x:f>IF(AND(A475=A474,ISNUMBER(K475),ISNUMBER(K474)),K475-K474,"")</x:f>
      </x:c>
      <x:c r="O475" s="13" t="str">
        <x:v>Sem informação</x:v>
      </x:c>
      <x:c r="P475" s="26"/>
      <x:c r="Q475" s="13"/>
      <x:c r="R475" s="13"/>
      <x:c r="S475" s="13"/>
      <x:c r="T475" s="13"/>
    </x:row>
    <x:row r="476">
      <x:c r="A476" s="13" t="str">
        <x:v>Kauã Elias</x:v>
      </x:c>
      <x:c r="B476" s="13" t="n">
        <x:v>2029</x:v>
      </x:c>
      <x:c r="C476" s="13" t="str">
        <x:v>T3</x:v>
      </x:c>
      <x:c r="D476" s="24" t="n">
        <x:v>47391</x:v>
      </x:c>
      <x:c r="E476" s="13" t="str">
        <x:v>Centroavante</x:v>
      </x:c>
      <x:c r="F476" s="13" t="str">
        <x:v>Shakhtar Donetsk</x:v>
      </x:c>
      <x:c r="G476" s="16"/>
      <x:c r="H476" s="16"/>
      <x:c r="I476" s="16"/>
      <x:c r="J476" s="16"/>
      <x:c r="K476" s="16" t="str">
        <x:f>IF(COUNT(G476,I476)=0,"",AVERAGE(G476,I476))</x:f>
      </x:c>
      <x:c r="L476" s="16" t="str">
        <x:f>IF(COUNT(H476,J476)=0,"",AVERAGE(H476,J476))</x:f>
      </x:c>
      <x:c r="M476" s="16" t="str">
        <x:f>IF(OR(K476="",L476=""),"",L476-K476)</x:f>
      </x:c>
      <x:c r="N476" s="16" t="str">
        <x:f>IF(AND(A476=A475,ISNUMBER(K476),ISNUMBER(K475)),K476-K475,"")</x:f>
      </x:c>
      <x:c r="O476" s="13" t="str">
        <x:v>Sem informação</x:v>
      </x:c>
      <x:c r="P476" s="26"/>
      <x:c r="Q476" s="13"/>
      <x:c r="R476" s="13"/>
      <x:c r="S476" s="13"/>
      <x:c r="T476" s="13"/>
    </x:row>
    <x:row r="477">
      <x:c r="A477" s="13" t="str">
        <x:v>Kauã Elias</x:v>
      </x:c>
      <x:c r="B477" s="13" t="n">
        <x:v>2029</x:v>
      </x:c>
      <x:c r="C477" s="13" t="str">
        <x:v>T4</x:v>
      </x:c>
      <x:c r="D477" s="24" t="n">
        <x:v>47483</x:v>
      </x:c>
      <x:c r="E477" s="13" t="str">
        <x:v>Centroavante</x:v>
      </x:c>
      <x:c r="F477" s="13" t="str">
        <x:v>Shakhtar Donetsk</x:v>
      </x:c>
      <x:c r="G477" s="16"/>
      <x:c r="H477" s="16"/>
      <x:c r="I477" s="16"/>
      <x:c r="J477" s="16"/>
      <x:c r="K477" s="16" t="str">
        <x:f>IF(COUNT(G477,I477)=0,"",AVERAGE(G477,I477))</x:f>
      </x:c>
      <x:c r="L477" s="16" t="str">
        <x:f>IF(COUNT(H477,J477)=0,"",AVERAGE(H477,J477))</x:f>
      </x:c>
      <x:c r="M477" s="16" t="str">
        <x:f>IF(OR(K477="",L477=""),"",L477-K477)</x:f>
      </x:c>
      <x:c r="N477" s="16" t="str">
        <x:f>IF(AND(A477=A476,ISNUMBER(K477),ISNUMBER(K476)),K477-K476,"")</x:f>
      </x:c>
      <x:c r="O477" s="13" t="str">
        <x:v>Sem informação</x:v>
      </x:c>
      <x:c r="P477" s="26"/>
      <x:c r="Q477" s="13"/>
      <x:c r="R477" s="13"/>
      <x:c r="S477" s="13"/>
      <x:c r="T477" s="13"/>
    </x:row>
    <x:row r="478">
      <x:c r="A478" s="13" t="str">
        <x:v>Kauã Elias</x:v>
      </x:c>
      <x:c r="B478" s="13" t="n">
        <x:v>2030</x:v>
      </x:c>
      <x:c r="C478" s="13" t="str">
        <x:v>T1</x:v>
      </x:c>
      <x:c r="D478" s="24" t="n">
        <x:v>47573</x:v>
      </x:c>
      <x:c r="E478" s="13" t="str">
        <x:v>Centroavante</x:v>
      </x:c>
      <x:c r="F478" s="13" t="str">
        <x:v>Shakhtar Donetsk</x:v>
      </x:c>
      <x:c r="G478" s="16"/>
      <x:c r="H478" s="16"/>
      <x:c r="I478" s="16"/>
      <x:c r="J478" s="16"/>
      <x:c r="K478" s="16" t="str">
        <x:f>IF(COUNT(G478,I478)=0,"",AVERAGE(G478,I478))</x:f>
      </x:c>
      <x:c r="L478" s="16" t="str">
        <x:f>IF(COUNT(H478,J478)=0,"",AVERAGE(H478,J478))</x:f>
      </x:c>
      <x:c r="M478" s="16" t="str">
        <x:f>IF(OR(K478="",L478=""),"",L478-K478)</x:f>
      </x:c>
      <x:c r="N478" s="16" t="str">
        <x:f>IF(AND(A478=A477,ISNUMBER(K478),ISNUMBER(K477)),K478-K477,"")</x:f>
      </x:c>
      <x:c r="O478" s="13" t="str">
        <x:v>Sem informação</x:v>
      </x:c>
      <x:c r="P478" s="26"/>
      <x:c r="Q478" s="13"/>
      <x:c r="R478" s="13"/>
      <x:c r="S478" s="13"/>
      <x:c r="T478" s="13"/>
    </x:row>
    <x:row r="479">
      <x:c r="A479" s="13" t="str">
        <x:v>Kauã Elias</x:v>
      </x:c>
      <x:c r="B479" s="13" t="n">
        <x:v>2030</x:v>
      </x:c>
      <x:c r="C479" s="13" t="str">
        <x:v>T2</x:v>
      </x:c>
      <x:c r="D479" s="24" t="n">
        <x:v>47664</x:v>
      </x:c>
      <x:c r="E479" s="13" t="str">
        <x:v>Centroavante</x:v>
      </x:c>
      <x:c r="F479" s="13" t="str">
        <x:v>Shakhtar Donetsk</x:v>
      </x:c>
      <x:c r="G479" s="16"/>
      <x:c r="H479" s="16"/>
      <x:c r="I479" s="16"/>
      <x:c r="J479" s="16"/>
      <x:c r="K479" s="16" t="str">
        <x:f>IF(COUNT(G479,I479)=0,"",AVERAGE(G479,I479))</x:f>
      </x:c>
      <x:c r="L479" s="16" t="str">
        <x:f>IF(COUNT(H479,J479)=0,"",AVERAGE(H479,J479))</x:f>
      </x:c>
      <x:c r="M479" s="16" t="str">
        <x:f>IF(OR(K479="",L479=""),"",L479-K479)</x:f>
      </x:c>
      <x:c r="N479" s="16" t="str">
        <x:f>IF(AND(A479=A478,ISNUMBER(K479),ISNUMBER(K478)),K479-K478,"")</x:f>
      </x:c>
      <x:c r="O479" s="13" t="str">
        <x:v>Sem informação</x:v>
      </x:c>
      <x:c r="P479" s="26"/>
      <x:c r="Q479" s="13"/>
      <x:c r="R479" s="13"/>
      <x:c r="S479" s="13"/>
      <x:c r="T479" s="13"/>
    </x:row>
    <x:row r="480">
      <x:c r="A480" s="13" t="str">
        <x:v>Kauã Elias</x:v>
      </x:c>
      <x:c r="B480" s="13" t="n">
        <x:v>2030</x:v>
      </x:c>
      <x:c r="C480" s="13" t="str">
        <x:v>T3</x:v>
      </x:c>
      <x:c r="D480" s="24" t="n">
        <x:v>47756</x:v>
      </x:c>
      <x:c r="E480" s="13" t="str">
        <x:v>Centroavante</x:v>
      </x:c>
      <x:c r="F480" s="13" t="str">
        <x:v>Shakhtar Donetsk</x:v>
      </x:c>
      <x:c r="G480" s="16"/>
      <x:c r="H480" s="16"/>
      <x:c r="I480" s="16"/>
      <x:c r="J480" s="16"/>
      <x:c r="K480" s="16" t="str">
        <x:f>IF(COUNT(G480,I480)=0,"",AVERAGE(G480,I480))</x:f>
      </x:c>
      <x:c r="L480" s="16" t="str">
        <x:f>IF(COUNT(H480,J480)=0,"",AVERAGE(H480,J480))</x:f>
      </x:c>
      <x:c r="M480" s="16" t="str">
        <x:f>IF(OR(K480="",L480=""),"",L480-K480)</x:f>
      </x:c>
      <x:c r="N480" s="16" t="str">
        <x:f>IF(AND(A480=A479,ISNUMBER(K480),ISNUMBER(K479)),K480-K479,"")</x:f>
      </x:c>
      <x:c r="O480" s="13" t="str">
        <x:v>Sem informação</x:v>
      </x:c>
      <x:c r="P480" s="26"/>
      <x:c r="Q480" s="13"/>
      <x:c r="R480" s="13"/>
      <x:c r="S480" s="13"/>
      <x:c r="T480" s="13"/>
    </x:row>
    <x:row r="481">
      <x:c r="A481" s="13" t="str">
        <x:v>Kauã Elias</x:v>
      </x:c>
      <x:c r="B481" s="13" t="n">
        <x:v>2030</x:v>
      </x:c>
      <x:c r="C481" s="13" t="str">
        <x:v>T4</x:v>
      </x:c>
      <x:c r="D481" s="24" t="n">
        <x:v>47848</x:v>
      </x:c>
      <x:c r="E481" s="13" t="str">
        <x:v>Centroavante</x:v>
      </x:c>
      <x:c r="F481" s="13" t="str">
        <x:v>Shakhtar Donetsk</x:v>
      </x:c>
      <x:c r="G481" s="16"/>
      <x:c r="H481" s="16"/>
      <x:c r="I481" s="16"/>
      <x:c r="J481" s="16"/>
      <x:c r="K481" s="16" t="str">
        <x:f>IF(COUNT(G481,I481)=0,"",AVERAGE(G481,I481))</x:f>
      </x:c>
      <x:c r="L481" s="16" t="str">
        <x:f>IF(COUNT(H481,J481)=0,"",AVERAGE(H481,J481))</x:f>
      </x:c>
      <x:c r="M481" s="16" t="str">
        <x:f>IF(OR(K481="",L481=""),"",L481-K481)</x:f>
      </x:c>
      <x:c r="N481" s="16" t="str">
        <x:f>IF(AND(A481=A480,ISNUMBER(K481),ISNUMBER(K480)),K481-K480,"")</x:f>
      </x:c>
      <x:c r="O481" s="13" t="str">
        <x:v>Sem informação</x:v>
      </x:c>
      <x:c r="P481" s="26"/>
      <x:c r="Q481" s="13"/>
      <x:c r="R481" s="13"/>
      <x:c r="S481" s="13"/>
      <x:c r="T481" s="13"/>
    </x:row>
    <x:row r="482">
      <x:c r="A482" s="13" t="str">
        <x:v>Leonardo Nannetti</x:v>
      </x:c>
      <x:c r="B482" s="13" t="n">
        <x:v>2026</x:v>
      </x:c>
      <x:c r="C482" s="13" t="str">
        <x:v>T1</x:v>
      </x:c>
      <x:c r="D482" s="24" t="n">
        <x:v>46112</x:v>
      </x:c>
      <x:c r="E482" s="13" t="str">
        <x:v>Goleiro</x:v>
      </x:c>
      <x:c r="F482" s="13" t="str">
        <x:v>CR Flamengo Sub-20</x:v>
      </x:c>
      <x:c r="G482" s="16"/>
      <x:c r="H482" s="16"/>
      <x:c r="I482" s="16"/>
      <x:c r="J482" s="16"/>
      <x:c r="K482" s="16" t="str">
        <x:f>IF(COUNT(G482,I482)=0,"",AVERAGE(G482,I482))</x:f>
      </x:c>
      <x:c r="L482" s="16" t="str">
        <x:f>IF(COUNT(H482,J482)=0,"",AVERAGE(H482,J482))</x:f>
      </x:c>
      <x:c r="M482" s="16" t="str">
        <x:f>IF(OR(K482="",L482=""),"",L482-K482)</x:f>
      </x:c>
      <x:c r="N482" s="16" t="str">
        <x:f>IF(AND(A482=A481,ISNUMBER(K482),ISNUMBER(K481)),K482-K481,"")</x:f>
      </x:c>
      <x:c r="O482" s="13" t="str">
        <x:v>Sem informação</x:v>
      </x:c>
      <x:c r="P482" s="26"/>
      <x:c r="Q482" s="13"/>
      <x:c r="R482" s="13"/>
      <x:c r="S482" s="13"/>
      <x:c r="T482" s="13"/>
    </x:row>
    <x:row r="483">
      <x:c r="A483" s="13" t="str">
        <x:v>Leonardo Nannetti</x:v>
      </x:c>
      <x:c r="B483" s="13" t="n">
        <x:v>2026</x:v>
      </x:c>
      <x:c r="C483" s="13" t="str">
        <x:v>T2</x:v>
      </x:c>
      <x:c r="D483" s="24" t="n">
        <x:v>46203</x:v>
      </x:c>
      <x:c r="E483" s="13" t="str">
        <x:v>Goleiro</x:v>
      </x:c>
      <x:c r="F483" s="13" t="str">
        <x:v>CR Flamengo Sub-20</x:v>
      </x:c>
      <x:c r="G483" s="16"/>
      <x:c r="H483" s="16"/>
      <x:c r="I483" s="16"/>
      <x:c r="J483" s="16"/>
      <x:c r="K483" s="16" t="str">
        <x:f>IF(COUNT(G483,I483)=0,"",AVERAGE(G483,I483))</x:f>
      </x:c>
      <x:c r="L483" s="16" t="str">
        <x:f>IF(COUNT(H483,J483)=0,"",AVERAGE(H483,J483))</x:f>
      </x:c>
      <x:c r="M483" s="16" t="str">
        <x:f>IF(OR(K483="",L483=""),"",L483-K483)</x:f>
      </x:c>
      <x:c r="N483" s="16" t="str">
        <x:f>IF(AND(A483=A482,ISNUMBER(K483),ISNUMBER(K482)),K483-K482,"")</x:f>
      </x:c>
      <x:c r="O483" s="13" t="str">
        <x:v>Sem informação</x:v>
      </x:c>
      <x:c r="P483" s="26"/>
      <x:c r="Q483" s="13"/>
      <x:c r="R483" s="13"/>
      <x:c r="S483" s="13"/>
      <x:c r="T483" s="13"/>
    </x:row>
    <x:row r="484">
      <x:c r="A484" s="13" t="str">
        <x:v>Leonardo Nannetti</x:v>
      </x:c>
      <x:c r="B484" s="13" t="n">
        <x:v>2026</x:v>
      </x:c>
      <x:c r="C484" s="13" t="str">
        <x:v>T3</x:v>
      </x:c>
      <x:c r="D484" s="24" t="n">
        <x:v>46295</x:v>
      </x:c>
      <x:c r="E484" s="13" t="str">
        <x:v>Goleiro</x:v>
      </x:c>
      <x:c r="F484" s="13" t="str">
        <x:v>CR Flamengo Sub-20</x:v>
      </x:c>
      <x:c r="G484" s="16"/>
      <x:c r="H484" s="16"/>
      <x:c r="I484" s="16"/>
      <x:c r="J484" s="16"/>
      <x:c r="K484" s="16" t="str">
        <x:f>IF(COUNT(G484,I484)=0,"",AVERAGE(G484,I484))</x:f>
      </x:c>
      <x:c r="L484" s="16" t="str">
        <x:f>IF(COUNT(H484,J484)=0,"",AVERAGE(H484,J484))</x:f>
      </x:c>
      <x:c r="M484" s="16" t="str">
        <x:f>IF(OR(K484="",L484=""),"",L484-K484)</x:f>
      </x:c>
      <x:c r="N484" s="16" t="str">
        <x:f>IF(AND(A484=A483,ISNUMBER(K484),ISNUMBER(K483)),K484-K483,"")</x:f>
      </x:c>
      <x:c r="O484" s="13" t="str">
        <x:v>Sem informação</x:v>
      </x:c>
      <x:c r="P484" s="26"/>
      <x:c r="Q484" s="13"/>
      <x:c r="R484" s="13"/>
      <x:c r="S484" s="13"/>
      <x:c r="T484" s="13"/>
    </x:row>
    <x:row r="485">
      <x:c r="A485" s="13" t="str">
        <x:v>Leonardo Nannetti</x:v>
      </x:c>
      <x:c r="B485" s="13" t="n">
        <x:v>2026</x:v>
      </x:c>
      <x:c r="C485" s="13" t="str">
        <x:v>T4</x:v>
      </x:c>
      <x:c r="D485" s="24" t="n">
        <x:v>46387</x:v>
      </x:c>
      <x:c r="E485" s="13" t="str">
        <x:v>Goleiro</x:v>
      </x:c>
      <x:c r="F485" s="13" t="str">
        <x:v>CR Flamengo Sub-20</x:v>
      </x:c>
      <x:c r="G485" s="16"/>
      <x:c r="H485" s="16"/>
      <x:c r="I485" s="16"/>
      <x:c r="J485" s="16"/>
      <x:c r="K485" s="16" t="str">
        <x:f>IF(COUNT(G485,I485)=0,"",AVERAGE(G485,I485))</x:f>
      </x:c>
      <x:c r="L485" s="16" t="str">
        <x:f>IF(COUNT(H485,J485)=0,"",AVERAGE(H485,J485))</x:f>
      </x:c>
      <x:c r="M485" s="16" t="str">
        <x:f>IF(OR(K485="",L485=""),"",L485-K485)</x:f>
      </x:c>
      <x:c r="N485" s="16" t="str">
        <x:f>IF(AND(A485=A484,ISNUMBER(K485),ISNUMBER(K484)),K485-K484,"")</x:f>
      </x:c>
      <x:c r="O485" s="13" t="str">
        <x:v>Sem informação</x:v>
      </x:c>
      <x:c r="P485" s="26"/>
      <x:c r="Q485" s="13"/>
      <x:c r="R485" s="13"/>
      <x:c r="S485" s="13"/>
      <x:c r="T485" s="13"/>
    </x:row>
    <x:row r="486">
      <x:c r="A486" s="13" t="str">
        <x:v>Leonardo Nannetti</x:v>
      </x:c>
      <x:c r="B486" s="13" t="n">
        <x:v>2027</x:v>
      </x:c>
      <x:c r="C486" s="13" t="str">
        <x:v>T1</x:v>
      </x:c>
      <x:c r="D486" s="24" t="n">
        <x:v>46477</x:v>
      </x:c>
      <x:c r="E486" s="13" t="str">
        <x:v>Goleiro</x:v>
      </x:c>
      <x:c r="F486" s="13" t="str">
        <x:v>CR Flamengo Sub-20</x:v>
      </x:c>
      <x:c r="G486" s="16"/>
      <x:c r="H486" s="16"/>
      <x:c r="I486" s="16"/>
      <x:c r="J486" s="16"/>
      <x:c r="K486" s="16" t="str">
        <x:f>IF(COUNT(G486,I486)=0,"",AVERAGE(G486,I486))</x:f>
      </x:c>
      <x:c r="L486" s="16" t="str">
        <x:f>IF(COUNT(H486,J486)=0,"",AVERAGE(H486,J486))</x:f>
      </x:c>
      <x:c r="M486" s="16" t="str">
        <x:f>IF(OR(K486="",L486=""),"",L486-K486)</x:f>
      </x:c>
      <x:c r="N486" s="16" t="str">
        <x:f>IF(AND(A486=A485,ISNUMBER(K486),ISNUMBER(K485)),K486-K485,"")</x:f>
      </x:c>
      <x:c r="O486" s="13" t="str">
        <x:v>Sem informação</x:v>
      </x:c>
      <x:c r="P486" s="26"/>
      <x:c r="Q486" s="13"/>
      <x:c r="R486" s="13"/>
      <x:c r="S486" s="13"/>
      <x:c r="T486" s="13"/>
    </x:row>
    <x:row r="487">
      <x:c r="A487" s="13" t="str">
        <x:v>Leonardo Nannetti</x:v>
      </x:c>
      <x:c r="B487" s="13" t="n">
        <x:v>2027</x:v>
      </x:c>
      <x:c r="C487" s="13" t="str">
        <x:v>T2</x:v>
      </x:c>
      <x:c r="D487" s="24" t="n">
        <x:v>46568</x:v>
      </x:c>
      <x:c r="E487" s="13" t="str">
        <x:v>Goleiro</x:v>
      </x:c>
      <x:c r="F487" s="13" t="str">
        <x:v>CR Flamengo Sub-20</x:v>
      </x:c>
      <x:c r="G487" s="16"/>
      <x:c r="H487" s="16"/>
      <x:c r="I487" s="16"/>
      <x:c r="J487" s="16"/>
      <x:c r="K487" s="16" t="str">
        <x:f>IF(COUNT(G487,I487)=0,"",AVERAGE(G487,I487))</x:f>
      </x:c>
      <x:c r="L487" s="16" t="str">
        <x:f>IF(COUNT(H487,J487)=0,"",AVERAGE(H487,J487))</x:f>
      </x:c>
      <x:c r="M487" s="16" t="str">
        <x:f>IF(OR(K487="",L487=""),"",L487-K487)</x:f>
      </x:c>
      <x:c r="N487" s="16" t="str">
        <x:f>IF(AND(A487=A486,ISNUMBER(K487),ISNUMBER(K486)),K487-K486,"")</x:f>
      </x:c>
      <x:c r="O487" s="13" t="str">
        <x:v>Sem informação</x:v>
      </x:c>
      <x:c r="P487" s="26"/>
      <x:c r="Q487" s="13"/>
      <x:c r="R487" s="13"/>
      <x:c r="S487" s="13"/>
      <x:c r="T487" s="13"/>
    </x:row>
    <x:row r="488">
      <x:c r="A488" s="13" t="str">
        <x:v>Leonardo Nannetti</x:v>
      </x:c>
      <x:c r="B488" s="13" t="n">
        <x:v>2027</x:v>
      </x:c>
      <x:c r="C488" s="13" t="str">
        <x:v>T3</x:v>
      </x:c>
      <x:c r="D488" s="24" t="n">
        <x:v>46660</x:v>
      </x:c>
      <x:c r="E488" s="13" t="str">
        <x:v>Goleiro</x:v>
      </x:c>
      <x:c r="F488" s="13" t="str">
        <x:v>CR Flamengo Sub-20</x:v>
      </x:c>
      <x:c r="G488" s="16"/>
      <x:c r="H488" s="16"/>
      <x:c r="I488" s="16"/>
      <x:c r="J488" s="16"/>
      <x:c r="K488" s="16" t="str">
        <x:f>IF(COUNT(G488,I488)=0,"",AVERAGE(G488,I488))</x:f>
      </x:c>
      <x:c r="L488" s="16" t="str">
        <x:f>IF(COUNT(H488,J488)=0,"",AVERAGE(H488,J488))</x:f>
      </x:c>
      <x:c r="M488" s="16" t="str">
        <x:f>IF(OR(K488="",L488=""),"",L488-K488)</x:f>
      </x:c>
      <x:c r="N488" s="16" t="str">
        <x:f>IF(AND(A488=A487,ISNUMBER(K488),ISNUMBER(K487)),K488-K487,"")</x:f>
      </x:c>
      <x:c r="O488" s="13" t="str">
        <x:v>Sem informação</x:v>
      </x:c>
      <x:c r="P488" s="26"/>
      <x:c r="Q488" s="13"/>
      <x:c r="R488" s="13"/>
      <x:c r="S488" s="13"/>
      <x:c r="T488" s="13"/>
    </x:row>
    <x:row r="489">
      <x:c r="A489" s="13" t="str">
        <x:v>Leonardo Nannetti</x:v>
      </x:c>
      <x:c r="B489" s="13" t="n">
        <x:v>2027</x:v>
      </x:c>
      <x:c r="C489" s="13" t="str">
        <x:v>T4</x:v>
      </x:c>
      <x:c r="D489" s="24" t="n">
        <x:v>46752</x:v>
      </x:c>
      <x:c r="E489" s="13" t="str">
        <x:v>Goleiro</x:v>
      </x:c>
      <x:c r="F489" s="13" t="str">
        <x:v>CR Flamengo Sub-20</x:v>
      </x:c>
      <x:c r="G489" s="16"/>
      <x:c r="H489" s="16"/>
      <x:c r="I489" s="16"/>
      <x:c r="J489" s="16"/>
      <x:c r="K489" s="16" t="str">
        <x:f>IF(COUNT(G489,I489)=0,"",AVERAGE(G489,I489))</x:f>
      </x:c>
      <x:c r="L489" s="16" t="str">
        <x:f>IF(COUNT(H489,J489)=0,"",AVERAGE(H489,J489))</x:f>
      </x:c>
      <x:c r="M489" s="16" t="str">
        <x:f>IF(OR(K489="",L489=""),"",L489-K489)</x:f>
      </x:c>
      <x:c r="N489" s="16" t="str">
        <x:f>IF(AND(A489=A488,ISNUMBER(K489),ISNUMBER(K488)),K489-K488,"")</x:f>
      </x:c>
      <x:c r="O489" s="13" t="str">
        <x:v>Sem informação</x:v>
      </x:c>
      <x:c r="P489" s="26"/>
      <x:c r="Q489" s="13"/>
      <x:c r="R489" s="13"/>
      <x:c r="S489" s="13"/>
      <x:c r="T489" s="13"/>
    </x:row>
    <x:row r="490">
      <x:c r="A490" s="13" t="str">
        <x:v>Leonardo Nannetti</x:v>
      </x:c>
      <x:c r="B490" s="13" t="n">
        <x:v>2028</x:v>
      </x:c>
      <x:c r="C490" s="13" t="str">
        <x:v>T1</x:v>
      </x:c>
      <x:c r="D490" s="24" t="n">
        <x:v>46843</x:v>
      </x:c>
      <x:c r="E490" s="13" t="str">
        <x:v>Goleiro</x:v>
      </x:c>
      <x:c r="F490" s="13" t="str">
        <x:v>CR Flamengo Sub-20</x:v>
      </x:c>
      <x:c r="G490" s="16"/>
      <x:c r="H490" s="16"/>
      <x:c r="I490" s="16"/>
      <x:c r="J490" s="16"/>
      <x:c r="K490" s="16" t="str">
        <x:f>IF(COUNT(G490,I490)=0,"",AVERAGE(G490,I490))</x:f>
      </x:c>
      <x:c r="L490" s="16" t="str">
        <x:f>IF(COUNT(H490,J490)=0,"",AVERAGE(H490,J490))</x:f>
      </x:c>
      <x:c r="M490" s="16" t="str">
        <x:f>IF(OR(K490="",L490=""),"",L490-K490)</x:f>
      </x:c>
      <x:c r="N490" s="16" t="str">
        <x:f>IF(AND(A490=A489,ISNUMBER(K490),ISNUMBER(K489)),K490-K489,"")</x:f>
      </x:c>
      <x:c r="O490" s="13" t="str">
        <x:v>Sem informação</x:v>
      </x:c>
      <x:c r="P490" s="26"/>
      <x:c r="Q490" s="13"/>
      <x:c r="R490" s="13"/>
      <x:c r="S490" s="13"/>
      <x:c r="T490" s="13"/>
    </x:row>
    <x:row r="491">
      <x:c r="A491" s="13" t="str">
        <x:v>Leonardo Nannetti</x:v>
      </x:c>
      <x:c r="B491" s="13" t="n">
        <x:v>2028</x:v>
      </x:c>
      <x:c r="C491" s="13" t="str">
        <x:v>T2</x:v>
      </x:c>
      <x:c r="D491" s="24" t="n">
        <x:v>46934</x:v>
      </x:c>
      <x:c r="E491" s="13" t="str">
        <x:v>Goleiro</x:v>
      </x:c>
      <x:c r="F491" s="13" t="str">
        <x:v>CR Flamengo Sub-20</x:v>
      </x:c>
      <x:c r="G491" s="16"/>
      <x:c r="H491" s="16"/>
      <x:c r="I491" s="16"/>
      <x:c r="J491" s="16"/>
      <x:c r="K491" s="16" t="str">
        <x:f>IF(COUNT(G491,I491)=0,"",AVERAGE(G491,I491))</x:f>
      </x:c>
      <x:c r="L491" s="16" t="str">
        <x:f>IF(COUNT(H491,J491)=0,"",AVERAGE(H491,J491))</x:f>
      </x:c>
      <x:c r="M491" s="16" t="str">
        <x:f>IF(OR(K491="",L491=""),"",L491-K491)</x:f>
      </x:c>
      <x:c r="N491" s="16" t="str">
        <x:f>IF(AND(A491=A490,ISNUMBER(K491),ISNUMBER(K490)),K491-K490,"")</x:f>
      </x:c>
      <x:c r="O491" s="13" t="str">
        <x:v>Sem informação</x:v>
      </x:c>
      <x:c r="P491" s="26"/>
      <x:c r="Q491" s="13"/>
      <x:c r="R491" s="13"/>
      <x:c r="S491" s="13"/>
      <x:c r="T491" s="13"/>
    </x:row>
    <x:row r="492">
      <x:c r="A492" s="13" t="str">
        <x:v>Leonardo Nannetti</x:v>
      </x:c>
      <x:c r="B492" s="13" t="n">
        <x:v>2028</x:v>
      </x:c>
      <x:c r="C492" s="13" t="str">
        <x:v>T3</x:v>
      </x:c>
      <x:c r="D492" s="24" t="n">
        <x:v>47026</x:v>
      </x:c>
      <x:c r="E492" s="13" t="str">
        <x:v>Goleiro</x:v>
      </x:c>
      <x:c r="F492" s="13" t="str">
        <x:v>CR Flamengo Sub-20</x:v>
      </x:c>
      <x:c r="G492" s="16"/>
      <x:c r="H492" s="16"/>
      <x:c r="I492" s="16"/>
      <x:c r="J492" s="16"/>
      <x:c r="K492" s="16" t="str">
        <x:f>IF(COUNT(G492,I492)=0,"",AVERAGE(G492,I492))</x:f>
      </x:c>
      <x:c r="L492" s="16" t="str">
        <x:f>IF(COUNT(H492,J492)=0,"",AVERAGE(H492,J492))</x:f>
      </x:c>
      <x:c r="M492" s="16" t="str">
        <x:f>IF(OR(K492="",L492=""),"",L492-K492)</x:f>
      </x:c>
      <x:c r="N492" s="16" t="str">
        <x:f>IF(AND(A492=A491,ISNUMBER(K492),ISNUMBER(K491)),K492-K491,"")</x:f>
      </x:c>
      <x:c r="O492" s="13" t="str">
        <x:v>Sem informação</x:v>
      </x:c>
      <x:c r="P492" s="26"/>
      <x:c r="Q492" s="13"/>
      <x:c r="R492" s="13"/>
      <x:c r="S492" s="13"/>
      <x:c r="T492" s="13"/>
    </x:row>
    <x:row r="493">
      <x:c r="A493" s="13" t="str">
        <x:v>Leonardo Nannetti</x:v>
      </x:c>
      <x:c r="B493" s="13" t="n">
        <x:v>2028</x:v>
      </x:c>
      <x:c r="C493" s="13" t="str">
        <x:v>T4</x:v>
      </x:c>
      <x:c r="D493" s="24" t="n">
        <x:v>47118</x:v>
      </x:c>
      <x:c r="E493" s="13" t="str">
        <x:v>Goleiro</x:v>
      </x:c>
      <x:c r="F493" s="13" t="str">
        <x:v>CR Flamengo Sub-20</x:v>
      </x:c>
      <x:c r="G493" s="16"/>
      <x:c r="H493" s="16"/>
      <x:c r="I493" s="16"/>
      <x:c r="J493" s="16"/>
      <x:c r="K493" s="16" t="str">
        <x:f>IF(COUNT(G493,I493)=0,"",AVERAGE(G493,I493))</x:f>
      </x:c>
      <x:c r="L493" s="16" t="str">
        <x:f>IF(COUNT(H493,J493)=0,"",AVERAGE(H493,J493))</x:f>
      </x:c>
      <x:c r="M493" s="16" t="str">
        <x:f>IF(OR(K493="",L493=""),"",L493-K493)</x:f>
      </x:c>
      <x:c r="N493" s="16" t="str">
        <x:f>IF(AND(A493=A492,ISNUMBER(K493),ISNUMBER(K492)),K493-K492,"")</x:f>
      </x:c>
      <x:c r="O493" s="13" t="str">
        <x:v>Sem informação</x:v>
      </x:c>
      <x:c r="P493" s="26"/>
      <x:c r="Q493" s="13"/>
      <x:c r="R493" s="13"/>
      <x:c r="S493" s="13"/>
      <x:c r="T493" s="13"/>
    </x:row>
    <x:row r="494">
      <x:c r="A494" s="13" t="str">
        <x:v>Leonardo Nannetti</x:v>
      </x:c>
      <x:c r="B494" s="13" t="n">
        <x:v>2029</x:v>
      </x:c>
      <x:c r="C494" s="13" t="str">
        <x:v>T1</x:v>
      </x:c>
      <x:c r="D494" s="24" t="n">
        <x:v>47208</x:v>
      </x:c>
      <x:c r="E494" s="13" t="str">
        <x:v>Goleiro</x:v>
      </x:c>
      <x:c r="F494" s="13" t="str">
        <x:v>CR Flamengo Sub-20</x:v>
      </x:c>
      <x:c r="G494" s="16"/>
      <x:c r="H494" s="16"/>
      <x:c r="I494" s="16"/>
      <x:c r="J494" s="16"/>
      <x:c r="K494" s="16" t="str">
        <x:f>IF(COUNT(G494,I494)=0,"",AVERAGE(G494,I494))</x:f>
      </x:c>
      <x:c r="L494" s="16" t="str">
        <x:f>IF(COUNT(H494,J494)=0,"",AVERAGE(H494,J494))</x:f>
      </x:c>
      <x:c r="M494" s="16" t="str">
        <x:f>IF(OR(K494="",L494=""),"",L494-K494)</x:f>
      </x:c>
      <x:c r="N494" s="16" t="str">
        <x:f>IF(AND(A494=A493,ISNUMBER(K494),ISNUMBER(K493)),K494-K493,"")</x:f>
      </x:c>
      <x:c r="O494" s="13" t="str">
        <x:v>Sem informação</x:v>
      </x:c>
      <x:c r="P494" s="26"/>
      <x:c r="Q494" s="13"/>
      <x:c r="R494" s="13"/>
      <x:c r="S494" s="13"/>
      <x:c r="T494" s="13"/>
    </x:row>
    <x:row r="495">
      <x:c r="A495" s="13" t="str">
        <x:v>Leonardo Nannetti</x:v>
      </x:c>
      <x:c r="B495" s="13" t="n">
        <x:v>2029</x:v>
      </x:c>
      <x:c r="C495" s="13" t="str">
        <x:v>T2</x:v>
      </x:c>
      <x:c r="D495" s="24" t="n">
        <x:v>47299</x:v>
      </x:c>
      <x:c r="E495" s="13" t="str">
        <x:v>Goleiro</x:v>
      </x:c>
      <x:c r="F495" s="13" t="str">
        <x:v>CR Flamengo Sub-20</x:v>
      </x:c>
      <x:c r="G495" s="16"/>
      <x:c r="H495" s="16"/>
      <x:c r="I495" s="16"/>
      <x:c r="J495" s="16"/>
      <x:c r="K495" s="16" t="str">
        <x:f>IF(COUNT(G495,I495)=0,"",AVERAGE(G495,I495))</x:f>
      </x:c>
      <x:c r="L495" s="16" t="str">
        <x:f>IF(COUNT(H495,J495)=0,"",AVERAGE(H495,J495))</x:f>
      </x:c>
      <x:c r="M495" s="16" t="str">
        <x:f>IF(OR(K495="",L495=""),"",L495-K495)</x:f>
      </x:c>
      <x:c r="N495" s="16" t="str">
        <x:f>IF(AND(A495=A494,ISNUMBER(K495),ISNUMBER(K494)),K495-K494,"")</x:f>
      </x:c>
      <x:c r="O495" s="13" t="str">
        <x:v>Sem informação</x:v>
      </x:c>
      <x:c r="P495" s="26"/>
      <x:c r="Q495" s="13"/>
      <x:c r="R495" s="13"/>
      <x:c r="S495" s="13"/>
      <x:c r="T495" s="13"/>
    </x:row>
    <x:row r="496">
      <x:c r="A496" s="13" t="str">
        <x:v>Leonardo Nannetti</x:v>
      </x:c>
      <x:c r="B496" s="13" t="n">
        <x:v>2029</x:v>
      </x:c>
      <x:c r="C496" s="13" t="str">
        <x:v>T3</x:v>
      </x:c>
      <x:c r="D496" s="24" t="n">
        <x:v>47391</x:v>
      </x:c>
      <x:c r="E496" s="13" t="str">
        <x:v>Goleiro</x:v>
      </x:c>
      <x:c r="F496" s="13" t="str">
        <x:v>CR Flamengo Sub-20</x:v>
      </x:c>
      <x:c r="G496" s="16"/>
      <x:c r="H496" s="16"/>
      <x:c r="I496" s="16"/>
      <x:c r="J496" s="16"/>
      <x:c r="K496" s="16" t="str">
        <x:f>IF(COUNT(G496,I496)=0,"",AVERAGE(G496,I496))</x:f>
      </x:c>
      <x:c r="L496" s="16" t="str">
        <x:f>IF(COUNT(H496,J496)=0,"",AVERAGE(H496,J496))</x:f>
      </x:c>
      <x:c r="M496" s="16" t="str">
        <x:f>IF(OR(K496="",L496=""),"",L496-K496)</x:f>
      </x:c>
      <x:c r="N496" s="16" t="str">
        <x:f>IF(AND(A496=A495,ISNUMBER(K496),ISNUMBER(K495)),K496-K495,"")</x:f>
      </x:c>
      <x:c r="O496" s="13" t="str">
        <x:v>Sem informação</x:v>
      </x:c>
      <x:c r="P496" s="26"/>
      <x:c r="Q496" s="13"/>
      <x:c r="R496" s="13"/>
      <x:c r="S496" s="13"/>
      <x:c r="T496" s="13"/>
    </x:row>
    <x:row r="497">
      <x:c r="A497" s="13" t="str">
        <x:v>Leonardo Nannetti</x:v>
      </x:c>
      <x:c r="B497" s="13" t="n">
        <x:v>2029</x:v>
      </x:c>
      <x:c r="C497" s="13" t="str">
        <x:v>T4</x:v>
      </x:c>
      <x:c r="D497" s="24" t="n">
        <x:v>47483</x:v>
      </x:c>
      <x:c r="E497" s="13" t="str">
        <x:v>Goleiro</x:v>
      </x:c>
      <x:c r="F497" s="13" t="str">
        <x:v>CR Flamengo Sub-20</x:v>
      </x:c>
      <x:c r="G497" s="16"/>
      <x:c r="H497" s="16"/>
      <x:c r="I497" s="16"/>
      <x:c r="J497" s="16"/>
      <x:c r="K497" s="16" t="str">
        <x:f>IF(COUNT(G497,I497)=0,"",AVERAGE(G497,I497))</x:f>
      </x:c>
      <x:c r="L497" s="16" t="str">
        <x:f>IF(COUNT(H497,J497)=0,"",AVERAGE(H497,J497))</x:f>
      </x:c>
      <x:c r="M497" s="16" t="str">
        <x:f>IF(OR(K497="",L497=""),"",L497-K497)</x:f>
      </x:c>
      <x:c r="N497" s="16" t="str">
        <x:f>IF(AND(A497=A496,ISNUMBER(K497),ISNUMBER(K496)),K497-K496,"")</x:f>
      </x:c>
      <x:c r="O497" s="13" t="str">
        <x:v>Sem informação</x:v>
      </x:c>
      <x:c r="P497" s="26"/>
      <x:c r="Q497" s="13"/>
      <x:c r="R497" s="13"/>
      <x:c r="S497" s="13"/>
      <x:c r="T497" s="13"/>
    </x:row>
    <x:row r="498">
      <x:c r="A498" s="13" t="str">
        <x:v>Leonardo Nannetti</x:v>
      </x:c>
      <x:c r="B498" s="13" t="n">
        <x:v>2030</x:v>
      </x:c>
      <x:c r="C498" s="13" t="str">
        <x:v>T1</x:v>
      </x:c>
      <x:c r="D498" s="24" t="n">
        <x:v>47573</x:v>
      </x:c>
      <x:c r="E498" s="13" t="str">
        <x:v>Goleiro</x:v>
      </x:c>
      <x:c r="F498" s="13" t="str">
        <x:v>CR Flamengo Sub-20</x:v>
      </x:c>
      <x:c r="G498" s="16"/>
      <x:c r="H498" s="16"/>
      <x:c r="I498" s="16"/>
      <x:c r="J498" s="16"/>
      <x:c r="K498" s="16" t="str">
        <x:f>IF(COUNT(G498,I498)=0,"",AVERAGE(G498,I498))</x:f>
      </x:c>
      <x:c r="L498" s="16" t="str">
        <x:f>IF(COUNT(H498,J498)=0,"",AVERAGE(H498,J498))</x:f>
      </x:c>
      <x:c r="M498" s="16" t="str">
        <x:f>IF(OR(K498="",L498=""),"",L498-K498)</x:f>
      </x:c>
      <x:c r="N498" s="16" t="str">
        <x:f>IF(AND(A498=A497,ISNUMBER(K498),ISNUMBER(K497)),K498-K497,"")</x:f>
      </x:c>
      <x:c r="O498" s="13" t="str">
        <x:v>Sem informação</x:v>
      </x:c>
      <x:c r="P498" s="26"/>
      <x:c r="Q498" s="13"/>
      <x:c r="R498" s="13"/>
      <x:c r="S498" s="13"/>
      <x:c r="T498" s="13"/>
    </x:row>
    <x:row r="499">
      <x:c r="A499" s="13" t="str">
        <x:v>Leonardo Nannetti</x:v>
      </x:c>
      <x:c r="B499" s="13" t="n">
        <x:v>2030</x:v>
      </x:c>
      <x:c r="C499" s="13" t="str">
        <x:v>T2</x:v>
      </x:c>
      <x:c r="D499" s="24" t="n">
        <x:v>47664</x:v>
      </x:c>
      <x:c r="E499" s="13" t="str">
        <x:v>Goleiro</x:v>
      </x:c>
      <x:c r="F499" s="13" t="str">
        <x:v>CR Flamengo Sub-20</x:v>
      </x:c>
      <x:c r="G499" s="16"/>
      <x:c r="H499" s="16"/>
      <x:c r="I499" s="16"/>
      <x:c r="J499" s="16"/>
      <x:c r="K499" s="16" t="str">
        <x:f>IF(COUNT(G499,I499)=0,"",AVERAGE(G499,I499))</x:f>
      </x:c>
      <x:c r="L499" s="16" t="str">
        <x:f>IF(COUNT(H499,J499)=0,"",AVERAGE(H499,J499))</x:f>
      </x:c>
      <x:c r="M499" s="16" t="str">
        <x:f>IF(OR(K499="",L499=""),"",L499-K499)</x:f>
      </x:c>
      <x:c r="N499" s="16" t="str">
        <x:f>IF(AND(A499=A498,ISNUMBER(K499),ISNUMBER(K498)),K499-K498,"")</x:f>
      </x:c>
      <x:c r="O499" s="13" t="str">
        <x:v>Sem informação</x:v>
      </x:c>
      <x:c r="P499" s="26"/>
      <x:c r="Q499" s="13"/>
      <x:c r="R499" s="13"/>
      <x:c r="S499" s="13"/>
      <x:c r="T499" s="13"/>
    </x:row>
    <x:row r="500">
      <x:c r="A500" s="13" t="str">
        <x:v>Leonardo Nannetti</x:v>
      </x:c>
      <x:c r="B500" s="13" t="n">
        <x:v>2030</x:v>
      </x:c>
      <x:c r="C500" s="13" t="str">
        <x:v>T3</x:v>
      </x:c>
      <x:c r="D500" s="24" t="n">
        <x:v>47756</x:v>
      </x:c>
      <x:c r="E500" s="13" t="str">
        <x:v>Goleiro</x:v>
      </x:c>
      <x:c r="F500" s="13" t="str">
        <x:v>CR Flamengo Sub-20</x:v>
      </x:c>
      <x:c r="G500" s="16"/>
      <x:c r="H500" s="16"/>
      <x:c r="I500" s="16"/>
      <x:c r="J500" s="16"/>
      <x:c r="K500" s="16" t="str">
        <x:f>IF(COUNT(G500,I500)=0,"",AVERAGE(G500,I500))</x:f>
      </x:c>
      <x:c r="L500" s="16" t="str">
        <x:f>IF(COUNT(H500,J500)=0,"",AVERAGE(H500,J500))</x:f>
      </x:c>
      <x:c r="M500" s="16" t="str">
        <x:f>IF(OR(K500="",L500=""),"",L500-K500)</x:f>
      </x:c>
      <x:c r="N500" s="16" t="str">
        <x:f>IF(AND(A500=A499,ISNUMBER(K500),ISNUMBER(K499)),K500-K499,"")</x:f>
      </x:c>
      <x:c r="O500" s="13" t="str">
        <x:v>Sem informação</x:v>
      </x:c>
      <x:c r="P500" s="26"/>
      <x:c r="Q500" s="13"/>
      <x:c r="R500" s="13"/>
      <x:c r="S500" s="13"/>
      <x:c r="T500" s="13"/>
    </x:row>
    <x:row r="501">
      <x:c r="A501" s="13" t="str">
        <x:v>Leonardo Nannetti</x:v>
      </x:c>
      <x:c r="B501" s="13" t="n">
        <x:v>2030</x:v>
      </x:c>
      <x:c r="C501" s="13" t="str">
        <x:v>T4</x:v>
      </x:c>
      <x:c r="D501" s="24" t="n">
        <x:v>47848</x:v>
      </x:c>
      <x:c r="E501" s="13" t="str">
        <x:v>Goleiro</x:v>
      </x:c>
      <x:c r="F501" s="13" t="str">
        <x:v>CR Flamengo Sub-20</x:v>
      </x:c>
      <x:c r="G501" s="16"/>
      <x:c r="H501" s="16"/>
      <x:c r="I501" s="16"/>
      <x:c r="J501" s="16"/>
      <x:c r="K501" s="16" t="str">
        <x:f>IF(COUNT(G501,I501)=0,"",AVERAGE(G501,I501))</x:f>
      </x:c>
      <x:c r="L501" s="16" t="str">
        <x:f>IF(COUNT(H501,J501)=0,"",AVERAGE(H501,J501))</x:f>
      </x:c>
      <x:c r="M501" s="16" t="str">
        <x:f>IF(OR(K501="",L501=""),"",L501-K501)</x:f>
      </x:c>
      <x:c r="N501" s="16" t="str">
        <x:f>IF(AND(A501=A500,ISNUMBER(K501),ISNUMBER(K500)),K501-K500,"")</x:f>
      </x:c>
      <x:c r="O501" s="13" t="str">
        <x:v>Sem informação</x:v>
      </x:c>
      <x:c r="P501" s="26"/>
      <x:c r="Q501" s="13"/>
      <x:c r="R501" s="13"/>
      <x:c r="S501" s="13"/>
      <x:c r="T501" s="13"/>
    </x:row>
    <x:row r="502">
      <x:c r="A502" s="13" t="str">
        <x:v>Lucas Beraldo</x:v>
      </x:c>
      <x:c r="B502" s="13" t="n">
        <x:v>2026</x:v>
      </x:c>
      <x:c r="C502" s="13" t="str">
        <x:v>T1</x:v>
      </x:c>
      <x:c r="D502" s="24" t="n">
        <x:v>46112</x:v>
      </x:c>
      <x:c r="E502" s="13" t="str">
        <x:v>Zagueiro</x:v>
      </x:c>
      <x:c r="F502" s="13" t="str">
        <x:v>Paris Saint-Germain</x:v>
      </x:c>
      <x:c r="G502" s="16"/>
      <x:c r="H502" s="16"/>
      <x:c r="I502" s="16"/>
      <x:c r="J502" s="16"/>
      <x:c r="K502" s="16" t="str">
        <x:f>IF(COUNT(G502,I502)=0,"",AVERAGE(G502,I502))</x:f>
      </x:c>
      <x:c r="L502" s="16" t="str">
        <x:f>IF(COUNT(H502,J502)=0,"",AVERAGE(H502,J502))</x:f>
      </x:c>
      <x:c r="M502" s="16" t="str">
        <x:f>IF(OR(K502="",L502=""),"",L502-K502)</x:f>
      </x:c>
      <x:c r="N502" s="16" t="str">
        <x:f>IF(AND(A502=A501,ISNUMBER(K502),ISNUMBER(K501)),K502-K501,"")</x:f>
      </x:c>
      <x:c r="O502" s="13" t="str">
        <x:v>Sem informação</x:v>
      </x:c>
      <x:c r="P502" s="26"/>
      <x:c r="Q502" s="13"/>
      <x:c r="R502" s="13"/>
      <x:c r="S502" s="13"/>
      <x:c r="T502" s="13"/>
    </x:row>
    <x:row r="503">
      <x:c r="A503" s="13" t="str">
        <x:v>Lucas Beraldo</x:v>
      </x:c>
      <x:c r="B503" s="13" t="n">
        <x:v>2026</x:v>
      </x:c>
      <x:c r="C503" s="13" t="str">
        <x:v>T2</x:v>
      </x:c>
      <x:c r="D503" s="24" t="n">
        <x:v>46203</x:v>
      </x:c>
      <x:c r="E503" s="13" t="str">
        <x:v>Zagueiro</x:v>
      </x:c>
      <x:c r="F503" s="13" t="str">
        <x:v>Paris Saint-Germain</x:v>
      </x:c>
      <x:c r="G503" s="16"/>
      <x:c r="H503" s="16"/>
      <x:c r="I503" s="16"/>
      <x:c r="J503" s="16"/>
      <x:c r="K503" s="16" t="str">
        <x:f>IF(COUNT(G503,I503)=0,"",AVERAGE(G503,I503))</x:f>
      </x:c>
      <x:c r="L503" s="16" t="str">
        <x:f>IF(COUNT(H503,J503)=0,"",AVERAGE(H503,J503))</x:f>
      </x:c>
      <x:c r="M503" s="16" t="str">
        <x:f>IF(OR(K503="",L503=""),"",L503-K503)</x:f>
      </x:c>
      <x:c r="N503" s="16" t="str">
        <x:f>IF(AND(A503=A502,ISNUMBER(K503),ISNUMBER(K502)),K503-K502,"")</x:f>
      </x:c>
      <x:c r="O503" s="13" t="str">
        <x:v>Sem informação</x:v>
      </x:c>
      <x:c r="P503" s="26"/>
      <x:c r="Q503" s="13"/>
      <x:c r="R503" s="13"/>
      <x:c r="S503" s="13"/>
      <x:c r="T503" s="13"/>
    </x:row>
    <x:row r="504">
      <x:c r="A504" s="13" t="str">
        <x:v>Lucas Beraldo</x:v>
      </x:c>
      <x:c r="B504" s="13" t="n">
        <x:v>2026</x:v>
      </x:c>
      <x:c r="C504" s="13" t="str">
        <x:v>T3</x:v>
      </x:c>
      <x:c r="D504" s="24" t="n">
        <x:v>46295</x:v>
      </x:c>
      <x:c r="E504" s="13" t="str">
        <x:v>Zagueiro</x:v>
      </x:c>
      <x:c r="F504" s="13" t="str">
        <x:v>Paris Saint-Germain</x:v>
      </x:c>
      <x:c r="G504" s="16"/>
      <x:c r="H504" s="16"/>
      <x:c r="I504" s="16"/>
      <x:c r="J504" s="16"/>
      <x:c r="K504" s="16" t="str">
        <x:f>IF(COUNT(G504,I504)=0,"",AVERAGE(G504,I504))</x:f>
      </x:c>
      <x:c r="L504" s="16" t="str">
        <x:f>IF(COUNT(H504,J504)=0,"",AVERAGE(H504,J504))</x:f>
      </x:c>
      <x:c r="M504" s="16" t="str">
        <x:f>IF(OR(K504="",L504=""),"",L504-K504)</x:f>
      </x:c>
      <x:c r="N504" s="16" t="str">
        <x:f>IF(AND(A504=A503,ISNUMBER(K504),ISNUMBER(K503)),K504-K503,"")</x:f>
      </x:c>
      <x:c r="O504" s="13" t="str">
        <x:v>Sem informação</x:v>
      </x:c>
      <x:c r="P504" s="26"/>
      <x:c r="Q504" s="13"/>
      <x:c r="R504" s="13"/>
      <x:c r="S504" s="13"/>
      <x:c r="T504" s="13"/>
    </x:row>
    <x:row r="505">
      <x:c r="A505" s="13" t="str">
        <x:v>Lucas Beraldo</x:v>
      </x:c>
      <x:c r="B505" s="13" t="n">
        <x:v>2026</x:v>
      </x:c>
      <x:c r="C505" s="13" t="str">
        <x:v>T4</x:v>
      </x:c>
      <x:c r="D505" s="24" t="n">
        <x:v>46387</x:v>
      </x:c>
      <x:c r="E505" s="13" t="str">
        <x:v>Zagueiro</x:v>
      </x:c>
      <x:c r="F505" s="13" t="str">
        <x:v>Paris Saint-Germain</x:v>
      </x:c>
      <x:c r="G505" s="16"/>
      <x:c r="H505" s="16"/>
      <x:c r="I505" s="16"/>
      <x:c r="J505" s="16"/>
      <x:c r="K505" s="16" t="str">
        <x:f>IF(COUNT(G505,I505)=0,"",AVERAGE(G505,I505))</x:f>
      </x:c>
      <x:c r="L505" s="16" t="str">
        <x:f>IF(COUNT(H505,J505)=0,"",AVERAGE(H505,J505))</x:f>
      </x:c>
      <x:c r="M505" s="16" t="str">
        <x:f>IF(OR(K505="",L505=""),"",L505-K505)</x:f>
      </x:c>
      <x:c r="N505" s="16" t="str">
        <x:f>IF(AND(A505=A504,ISNUMBER(K505),ISNUMBER(K504)),K505-K504,"")</x:f>
      </x:c>
      <x:c r="O505" s="13" t="str">
        <x:v>Sem informação</x:v>
      </x:c>
      <x:c r="P505" s="26"/>
      <x:c r="Q505" s="13"/>
      <x:c r="R505" s="13"/>
      <x:c r="S505" s="13"/>
      <x:c r="T505" s="13"/>
    </x:row>
    <x:row r="506">
      <x:c r="A506" s="13" t="str">
        <x:v>Lucas Beraldo</x:v>
      </x:c>
      <x:c r="B506" s="13" t="n">
        <x:v>2027</x:v>
      </x:c>
      <x:c r="C506" s="13" t="str">
        <x:v>T1</x:v>
      </x:c>
      <x:c r="D506" s="24" t="n">
        <x:v>46477</x:v>
      </x:c>
      <x:c r="E506" s="13" t="str">
        <x:v>Zagueiro</x:v>
      </x:c>
      <x:c r="F506" s="13" t="str">
        <x:v>Paris Saint-Germain</x:v>
      </x:c>
      <x:c r="G506" s="16"/>
      <x:c r="H506" s="16"/>
      <x:c r="I506" s="16"/>
      <x:c r="J506" s="16"/>
      <x:c r="K506" s="16" t="str">
        <x:f>IF(COUNT(G506,I506)=0,"",AVERAGE(G506,I506))</x:f>
      </x:c>
      <x:c r="L506" s="16" t="str">
        <x:f>IF(COUNT(H506,J506)=0,"",AVERAGE(H506,J506))</x:f>
      </x:c>
      <x:c r="M506" s="16" t="str">
        <x:f>IF(OR(K506="",L506=""),"",L506-K506)</x:f>
      </x:c>
      <x:c r="N506" s="16" t="str">
        <x:f>IF(AND(A506=A505,ISNUMBER(K506),ISNUMBER(K505)),K506-K505,"")</x:f>
      </x:c>
      <x:c r="O506" s="13" t="str">
        <x:v>Sem informação</x:v>
      </x:c>
      <x:c r="P506" s="26"/>
      <x:c r="Q506" s="13"/>
      <x:c r="R506" s="13"/>
      <x:c r="S506" s="13"/>
      <x:c r="T506" s="13"/>
    </x:row>
    <x:row r="507">
      <x:c r="A507" s="13" t="str">
        <x:v>Lucas Beraldo</x:v>
      </x:c>
      <x:c r="B507" s="13" t="n">
        <x:v>2027</x:v>
      </x:c>
      <x:c r="C507" s="13" t="str">
        <x:v>T2</x:v>
      </x:c>
      <x:c r="D507" s="24" t="n">
        <x:v>46568</x:v>
      </x:c>
      <x:c r="E507" s="13" t="str">
        <x:v>Zagueiro</x:v>
      </x:c>
      <x:c r="F507" s="13" t="str">
        <x:v>Paris Saint-Germain</x:v>
      </x:c>
      <x:c r="G507" s="16"/>
      <x:c r="H507" s="16"/>
      <x:c r="I507" s="16"/>
      <x:c r="J507" s="16"/>
      <x:c r="K507" s="16" t="str">
        <x:f>IF(COUNT(G507,I507)=0,"",AVERAGE(G507,I507))</x:f>
      </x:c>
      <x:c r="L507" s="16" t="str">
        <x:f>IF(COUNT(H507,J507)=0,"",AVERAGE(H507,J507))</x:f>
      </x:c>
      <x:c r="M507" s="16" t="str">
        <x:f>IF(OR(K507="",L507=""),"",L507-K507)</x:f>
      </x:c>
      <x:c r="N507" s="16" t="str">
        <x:f>IF(AND(A507=A506,ISNUMBER(K507),ISNUMBER(K506)),K507-K506,"")</x:f>
      </x:c>
      <x:c r="O507" s="13" t="str">
        <x:v>Sem informação</x:v>
      </x:c>
      <x:c r="P507" s="26"/>
      <x:c r="Q507" s="13"/>
      <x:c r="R507" s="13"/>
      <x:c r="S507" s="13"/>
      <x:c r="T507" s="13"/>
    </x:row>
    <x:row r="508">
      <x:c r="A508" s="13" t="str">
        <x:v>Lucas Beraldo</x:v>
      </x:c>
      <x:c r="B508" s="13" t="n">
        <x:v>2027</x:v>
      </x:c>
      <x:c r="C508" s="13" t="str">
        <x:v>T3</x:v>
      </x:c>
      <x:c r="D508" s="24" t="n">
        <x:v>46660</x:v>
      </x:c>
      <x:c r="E508" s="13" t="str">
        <x:v>Zagueiro</x:v>
      </x:c>
      <x:c r="F508" s="13" t="str">
        <x:v>Paris Saint-Germain</x:v>
      </x:c>
      <x:c r="G508" s="16"/>
      <x:c r="H508" s="16"/>
      <x:c r="I508" s="16"/>
      <x:c r="J508" s="16"/>
      <x:c r="K508" s="16" t="str">
        <x:f>IF(COUNT(G508,I508)=0,"",AVERAGE(G508,I508))</x:f>
      </x:c>
      <x:c r="L508" s="16" t="str">
        <x:f>IF(COUNT(H508,J508)=0,"",AVERAGE(H508,J508))</x:f>
      </x:c>
      <x:c r="M508" s="16" t="str">
        <x:f>IF(OR(K508="",L508=""),"",L508-K508)</x:f>
      </x:c>
      <x:c r="N508" s="16" t="str">
        <x:f>IF(AND(A508=A507,ISNUMBER(K508),ISNUMBER(K507)),K508-K507,"")</x:f>
      </x:c>
      <x:c r="O508" s="13" t="str">
        <x:v>Sem informação</x:v>
      </x:c>
      <x:c r="P508" s="26"/>
      <x:c r="Q508" s="13"/>
      <x:c r="R508" s="13"/>
      <x:c r="S508" s="13"/>
      <x:c r="T508" s="13"/>
    </x:row>
    <x:row r="509">
      <x:c r="A509" s="13" t="str">
        <x:v>Lucas Beraldo</x:v>
      </x:c>
      <x:c r="B509" s="13" t="n">
        <x:v>2027</x:v>
      </x:c>
      <x:c r="C509" s="13" t="str">
        <x:v>T4</x:v>
      </x:c>
      <x:c r="D509" s="24" t="n">
        <x:v>46752</x:v>
      </x:c>
      <x:c r="E509" s="13" t="str">
        <x:v>Zagueiro</x:v>
      </x:c>
      <x:c r="F509" s="13" t="str">
        <x:v>Paris Saint-Germain</x:v>
      </x:c>
      <x:c r="G509" s="16"/>
      <x:c r="H509" s="16"/>
      <x:c r="I509" s="16"/>
      <x:c r="J509" s="16"/>
      <x:c r="K509" s="16" t="str">
        <x:f>IF(COUNT(G509,I509)=0,"",AVERAGE(G509,I509))</x:f>
      </x:c>
      <x:c r="L509" s="16" t="str">
        <x:f>IF(COUNT(H509,J509)=0,"",AVERAGE(H509,J509))</x:f>
      </x:c>
      <x:c r="M509" s="16" t="str">
        <x:f>IF(OR(K509="",L509=""),"",L509-K509)</x:f>
      </x:c>
      <x:c r="N509" s="16" t="str">
        <x:f>IF(AND(A509=A508,ISNUMBER(K509),ISNUMBER(K508)),K509-K508,"")</x:f>
      </x:c>
      <x:c r="O509" s="13" t="str">
        <x:v>Sem informação</x:v>
      </x:c>
      <x:c r="P509" s="26"/>
      <x:c r="Q509" s="13"/>
      <x:c r="R509" s="13"/>
      <x:c r="S509" s="13"/>
      <x:c r="T509" s="13"/>
    </x:row>
    <x:row r="510">
      <x:c r="A510" s="13" t="str">
        <x:v>Lucas Beraldo</x:v>
      </x:c>
      <x:c r="B510" s="13" t="n">
        <x:v>2028</x:v>
      </x:c>
      <x:c r="C510" s="13" t="str">
        <x:v>T1</x:v>
      </x:c>
      <x:c r="D510" s="24" t="n">
        <x:v>46843</x:v>
      </x:c>
      <x:c r="E510" s="13" t="str">
        <x:v>Zagueiro</x:v>
      </x:c>
      <x:c r="F510" s="13" t="str">
        <x:v>Paris Saint-Germain</x:v>
      </x:c>
      <x:c r="G510" s="16"/>
      <x:c r="H510" s="16"/>
      <x:c r="I510" s="16"/>
      <x:c r="J510" s="16"/>
      <x:c r="K510" s="16" t="str">
        <x:f>IF(COUNT(G510,I510)=0,"",AVERAGE(G510,I510))</x:f>
      </x:c>
      <x:c r="L510" s="16" t="str">
        <x:f>IF(COUNT(H510,J510)=0,"",AVERAGE(H510,J510))</x:f>
      </x:c>
      <x:c r="M510" s="16" t="str">
        <x:f>IF(OR(K510="",L510=""),"",L510-K510)</x:f>
      </x:c>
      <x:c r="N510" s="16" t="str">
        <x:f>IF(AND(A510=A509,ISNUMBER(K510),ISNUMBER(K509)),K510-K509,"")</x:f>
      </x:c>
      <x:c r="O510" s="13" t="str">
        <x:v>Sem informação</x:v>
      </x:c>
      <x:c r="P510" s="26"/>
      <x:c r="Q510" s="13"/>
      <x:c r="R510" s="13"/>
      <x:c r="S510" s="13"/>
      <x:c r="T510" s="13"/>
    </x:row>
    <x:row r="511">
      <x:c r="A511" s="13" t="str">
        <x:v>Lucas Beraldo</x:v>
      </x:c>
      <x:c r="B511" s="13" t="n">
        <x:v>2028</x:v>
      </x:c>
      <x:c r="C511" s="13" t="str">
        <x:v>T2</x:v>
      </x:c>
      <x:c r="D511" s="24" t="n">
        <x:v>46934</x:v>
      </x:c>
      <x:c r="E511" s="13" t="str">
        <x:v>Zagueiro</x:v>
      </x:c>
      <x:c r="F511" s="13" t="str">
        <x:v>Paris Saint-Germain</x:v>
      </x:c>
      <x:c r="G511" s="16"/>
      <x:c r="H511" s="16"/>
      <x:c r="I511" s="16"/>
      <x:c r="J511" s="16"/>
      <x:c r="K511" s="16" t="str">
        <x:f>IF(COUNT(G511,I511)=0,"",AVERAGE(G511,I511))</x:f>
      </x:c>
      <x:c r="L511" s="16" t="str">
        <x:f>IF(COUNT(H511,J511)=0,"",AVERAGE(H511,J511))</x:f>
      </x:c>
      <x:c r="M511" s="16" t="str">
        <x:f>IF(OR(K511="",L511=""),"",L511-K511)</x:f>
      </x:c>
      <x:c r="N511" s="16" t="str">
        <x:f>IF(AND(A511=A510,ISNUMBER(K511),ISNUMBER(K510)),K511-K510,"")</x:f>
      </x:c>
      <x:c r="O511" s="13" t="str">
        <x:v>Sem informação</x:v>
      </x:c>
      <x:c r="P511" s="26"/>
      <x:c r="Q511" s="13"/>
      <x:c r="R511" s="13"/>
      <x:c r="S511" s="13"/>
      <x:c r="T511" s="13"/>
    </x:row>
    <x:row r="512">
      <x:c r="A512" s="13" t="str">
        <x:v>Lucas Beraldo</x:v>
      </x:c>
      <x:c r="B512" s="13" t="n">
        <x:v>2028</x:v>
      </x:c>
      <x:c r="C512" s="13" t="str">
        <x:v>T3</x:v>
      </x:c>
      <x:c r="D512" s="24" t="n">
        <x:v>47026</x:v>
      </x:c>
      <x:c r="E512" s="13" t="str">
        <x:v>Zagueiro</x:v>
      </x:c>
      <x:c r="F512" s="13" t="str">
        <x:v>Paris Saint-Germain</x:v>
      </x:c>
      <x:c r="G512" s="16"/>
      <x:c r="H512" s="16"/>
      <x:c r="I512" s="16"/>
      <x:c r="J512" s="16"/>
      <x:c r="K512" s="16" t="str">
        <x:f>IF(COUNT(G512,I512)=0,"",AVERAGE(G512,I512))</x:f>
      </x:c>
      <x:c r="L512" s="16" t="str">
        <x:f>IF(COUNT(H512,J512)=0,"",AVERAGE(H512,J512))</x:f>
      </x:c>
      <x:c r="M512" s="16" t="str">
        <x:f>IF(OR(K512="",L512=""),"",L512-K512)</x:f>
      </x:c>
      <x:c r="N512" s="16" t="str">
        <x:f>IF(AND(A512=A511,ISNUMBER(K512),ISNUMBER(K511)),K512-K511,"")</x:f>
      </x:c>
      <x:c r="O512" s="13" t="str">
        <x:v>Sem informação</x:v>
      </x:c>
      <x:c r="P512" s="26"/>
      <x:c r="Q512" s="13"/>
      <x:c r="R512" s="13"/>
      <x:c r="S512" s="13"/>
      <x:c r="T512" s="13"/>
    </x:row>
    <x:row r="513">
      <x:c r="A513" s="13" t="str">
        <x:v>Lucas Beraldo</x:v>
      </x:c>
      <x:c r="B513" s="13" t="n">
        <x:v>2028</x:v>
      </x:c>
      <x:c r="C513" s="13" t="str">
        <x:v>T4</x:v>
      </x:c>
      <x:c r="D513" s="24" t="n">
        <x:v>47118</x:v>
      </x:c>
      <x:c r="E513" s="13" t="str">
        <x:v>Zagueiro</x:v>
      </x:c>
      <x:c r="F513" s="13" t="str">
        <x:v>Paris Saint-Germain</x:v>
      </x:c>
      <x:c r="G513" s="16"/>
      <x:c r="H513" s="16"/>
      <x:c r="I513" s="16"/>
      <x:c r="J513" s="16"/>
      <x:c r="K513" s="16" t="str">
        <x:f>IF(COUNT(G513,I513)=0,"",AVERAGE(G513,I513))</x:f>
      </x:c>
      <x:c r="L513" s="16" t="str">
        <x:f>IF(COUNT(H513,J513)=0,"",AVERAGE(H513,J513))</x:f>
      </x:c>
      <x:c r="M513" s="16" t="str">
        <x:f>IF(OR(K513="",L513=""),"",L513-K513)</x:f>
      </x:c>
      <x:c r="N513" s="16" t="str">
        <x:f>IF(AND(A513=A512,ISNUMBER(K513),ISNUMBER(K512)),K513-K512,"")</x:f>
      </x:c>
      <x:c r="O513" s="13" t="str">
        <x:v>Sem informação</x:v>
      </x:c>
      <x:c r="P513" s="26"/>
      <x:c r="Q513" s="13"/>
      <x:c r="R513" s="13"/>
      <x:c r="S513" s="13"/>
      <x:c r="T513" s="13"/>
    </x:row>
    <x:row r="514">
      <x:c r="A514" s="13" t="str">
        <x:v>Lucas Beraldo</x:v>
      </x:c>
      <x:c r="B514" s="13" t="n">
        <x:v>2029</x:v>
      </x:c>
      <x:c r="C514" s="13" t="str">
        <x:v>T1</x:v>
      </x:c>
      <x:c r="D514" s="24" t="n">
        <x:v>47208</x:v>
      </x:c>
      <x:c r="E514" s="13" t="str">
        <x:v>Zagueiro</x:v>
      </x:c>
      <x:c r="F514" s="13" t="str">
        <x:v>Paris Saint-Germain</x:v>
      </x:c>
      <x:c r="G514" s="16"/>
      <x:c r="H514" s="16"/>
      <x:c r="I514" s="16"/>
      <x:c r="J514" s="16"/>
      <x:c r="K514" s="16" t="str">
        <x:f>IF(COUNT(G514,I514)=0,"",AVERAGE(G514,I514))</x:f>
      </x:c>
      <x:c r="L514" s="16" t="str">
        <x:f>IF(COUNT(H514,J514)=0,"",AVERAGE(H514,J514))</x:f>
      </x:c>
      <x:c r="M514" s="16" t="str">
        <x:f>IF(OR(K514="",L514=""),"",L514-K514)</x:f>
      </x:c>
      <x:c r="N514" s="16" t="str">
        <x:f>IF(AND(A514=A513,ISNUMBER(K514),ISNUMBER(K513)),K514-K513,"")</x:f>
      </x:c>
      <x:c r="O514" s="13" t="str">
        <x:v>Sem informação</x:v>
      </x:c>
      <x:c r="P514" s="26"/>
      <x:c r="Q514" s="13"/>
      <x:c r="R514" s="13"/>
      <x:c r="S514" s="13"/>
      <x:c r="T514" s="13"/>
    </x:row>
    <x:row r="515">
      <x:c r="A515" s="13" t="str">
        <x:v>Lucas Beraldo</x:v>
      </x:c>
      <x:c r="B515" s="13" t="n">
        <x:v>2029</x:v>
      </x:c>
      <x:c r="C515" s="13" t="str">
        <x:v>T2</x:v>
      </x:c>
      <x:c r="D515" s="24" t="n">
        <x:v>47299</x:v>
      </x:c>
      <x:c r="E515" s="13" t="str">
        <x:v>Zagueiro</x:v>
      </x:c>
      <x:c r="F515" s="13" t="str">
        <x:v>Paris Saint-Germain</x:v>
      </x:c>
      <x:c r="G515" s="16"/>
      <x:c r="H515" s="16"/>
      <x:c r="I515" s="16"/>
      <x:c r="J515" s="16"/>
      <x:c r="K515" s="16" t="str">
        <x:f>IF(COUNT(G515,I515)=0,"",AVERAGE(G515,I515))</x:f>
      </x:c>
      <x:c r="L515" s="16" t="str">
        <x:f>IF(COUNT(H515,J515)=0,"",AVERAGE(H515,J515))</x:f>
      </x:c>
      <x:c r="M515" s="16" t="str">
        <x:f>IF(OR(K515="",L515=""),"",L515-K515)</x:f>
      </x:c>
      <x:c r="N515" s="16" t="str">
        <x:f>IF(AND(A515=A514,ISNUMBER(K515),ISNUMBER(K514)),K515-K514,"")</x:f>
      </x:c>
      <x:c r="O515" s="13" t="str">
        <x:v>Sem informação</x:v>
      </x:c>
      <x:c r="P515" s="26"/>
      <x:c r="Q515" s="13"/>
      <x:c r="R515" s="13"/>
      <x:c r="S515" s="13"/>
      <x:c r="T515" s="13"/>
    </x:row>
    <x:row r="516">
      <x:c r="A516" s="13" t="str">
        <x:v>Lucas Beraldo</x:v>
      </x:c>
      <x:c r="B516" s="13" t="n">
        <x:v>2029</x:v>
      </x:c>
      <x:c r="C516" s="13" t="str">
        <x:v>T3</x:v>
      </x:c>
      <x:c r="D516" s="24" t="n">
        <x:v>47391</x:v>
      </x:c>
      <x:c r="E516" s="13" t="str">
        <x:v>Zagueiro</x:v>
      </x:c>
      <x:c r="F516" s="13" t="str">
        <x:v>Paris Saint-Germain</x:v>
      </x:c>
      <x:c r="G516" s="16"/>
      <x:c r="H516" s="16"/>
      <x:c r="I516" s="16"/>
      <x:c r="J516" s="16"/>
      <x:c r="K516" s="16" t="str">
        <x:f>IF(COUNT(G516,I516)=0,"",AVERAGE(G516,I516))</x:f>
      </x:c>
      <x:c r="L516" s="16" t="str">
        <x:f>IF(COUNT(H516,J516)=0,"",AVERAGE(H516,J516))</x:f>
      </x:c>
      <x:c r="M516" s="16" t="str">
        <x:f>IF(OR(K516="",L516=""),"",L516-K516)</x:f>
      </x:c>
      <x:c r="N516" s="16" t="str">
        <x:f>IF(AND(A516=A515,ISNUMBER(K516),ISNUMBER(K515)),K516-K515,"")</x:f>
      </x:c>
      <x:c r="O516" s="13" t="str">
        <x:v>Sem informação</x:v>
      </x:c>
      <x:c r="P516" s="26"/>
      <x:c r="Q516" s="13"/>
      <x:c r="R516" s="13"/>
      <x:c r="S516" s="13"/>
      <x:c r="T516" s="13"/>
    </x:row>
    <x:row r="517">
      <x:c r="A517" s="13" t="str">
        <x:v>Lucas Beraldo</x:v>
      </x:c>
      <x:c r="B517" s="13" t="n">
        <x:v>2029</x:v>
      </x:c>
      <x:c r="C517" s="13" t="str">
        <x:v>T4</x:v>
      </x:c>
      <x:c r="D517" s="24" t="n">
        <x:v>47483</x:v>
      </x:c>
      <x:c r="E517" s="13" t="str">
        <x:v>Zagueiro</x:v>
      </x:c>
      <x:c r="F517" s="13" t="str">
        <x:v>Paris Saint-Germain</x:v>
      </x:c>
      <x:c r="G517" s="16"/>
      <x:c r="H517" s="16"/>
      <x:c r="I517" s="16"/>
      <x:c r="J517" s="16"/>
      <x:c r="K517" s="16" t="str">
        <x:f>IF(COUNT(G517,I517)=0,"",AVERAGE(G517,I517))</x:f>
      </x:c>
      <x:c r="L517" s="16" t="str">
        <x:f>IF(COUNT(H517,J517)=0,"",AVERAGE(H517,J517))</x:f>
      </x:c>
      <x:c r="M517" s="16" t="str">
        <x:f>IF(OR(K517="",L517=""),"",L517-K517)</x:f>
      </x:c>
      <x:c r="N517" s="16" t="str">
        <x:f>IF(AND(A517=A516,ISNUMBER(K517),ISNUMBER(K516)),K517-K516,"")</x:f>
      </x:c>
      <x:c r="O517" s="13" t="str">
        <x:v>Sem informação</x:v>
      </x:c>
      <x:c r="P517" s="26"/>
      <x:c r="Q517" s="13"/>
      <x:c r="R517" s="13"/>
      <x:c r="S517" s="13"/>
      <x:c r="T517" s="13"/>
    </x:row>
    <x:row r="518">
      <x:c r="A518" s="13" t="str">
        <x:v>Lucas Beraldo</x:v>
      </x:c>
      <x:c r="B518" s="13" t="n">
        <x:v>2030</x:v>
      </x:c>
      <x:c r="C518" s="13" t="str">
        <x:v>T1</x:v>
      </x:c>
      <x:c r="D518" s="24" t="n">
        <x:v>47573</x:v>
      </x:c>
      <x:c r="E518" s="13" t="str">
        <x:v>Zagueiro</x:v>
      </x:c>
      <x:c r="F518" s="13" t="str">
        <x:v>Paris Saint-Germain</x:v>
      </x:c>
      <x:c r="G518" s="16"/>
      <x:c r="H518" s="16"/>
      <x:c r="I518" s="16"/>
      <x:c r="J518" s="16"/>
      <x:c r="K518" s="16" t="str">
        <x:f>IF(COUNT(G518,I518)=0,"",AVERAGE(G518,I518))</x:f>
      </x:c>
      <x:c r="L518" s="16" t="str">
        <x:f>IF(COUNT(H518,J518)=0,"",AVERAGE(H518,J518))</x:f>
      </x:c>
      <x:c r="M518" s="16" t="str">
        <x:f>IF(OR(K518="",L518=""),"",L518-K518)</x:f>
      </x:c>
      <x:c r="N518" s="16" t="str">
        <x:f>IF(AND(A518=A517,ISNUMBER(K518),ISNUMBER(K517)),K518-K517,"")</x:f>
      </x:c>
      <x:c r="O518" s="13" t="str">
        <x:v>Sem informação</x:v>
      </x:c>
      <x:c r="P518" s="26"/>
      <x:c r="Q518" s="13"/>
      <x:c r="R518" s="13"/>
      <x:c r="S518" s="13"/>
      <x:c r="T518" s="13"/>
    </x:row>
    <x:row r="519">
      <x:c r="A519" s="13" t="str">
        <x:v>Lucas Beraldo</x:v>
      </x:c>
      <x:c r="B519" s="13" t="n">
        <x:v>2030</x:v>
      </x:c>
      <x:c r="C519" s="13" t="str">
        <x:v>T2</x:v>
      </x:c>
      <x:c r="D519" s="24" t="n">
        <x:v>47664</x:v>
      </x:c>
      <x:c r="E519" s="13" t="str">
        <x:v>Zagueiro</x:v>
      </x:c>
      <x:c r="F519" s="13" t="str">
        <x:v>Paris Saint-Germain</x:v>
      </x:c>
      <x:c r="G519" s="16"/>
      <x:c r="H519" s="16"/>
      <x:c r="I519" s="16"/>
      <x:c r="J519" s="16"/>
      <x:c r="K519" s="16" t="str">
        <x:f>IF(COUNT(G519,I519)=0,"",AVERAGE(G519,I519))</x:f>
      </x:c>
      <x:c r="L519" s="16" t="str">
        <x:f>IF(COUNT(H519,J519)=0,"",AVERAGE(H519,J519))</x:f>
      </x:c>
      <x:c r="M519" s="16" t="str">
        <x:f>IF(OR(K519="",L519=""),"",L519-K519)</x:f>
      </x:c>
      <x:c r="N519" s="16" t="str">
        <x:f>IF(AND(A519=A518,ISNUMBER(K519),ISNUMBER(K518)),K519-K518,"")</x:f>
      </x:c>
      <x:c r="O519" s="13" t="str">
        <x:v>Sem informação</x:v>
      </x:c>
      <x:c r="P519" s="26"/>
      <x:c r="Q519" s="13"/>
      <x:c r="R519" s="13"/>
      <x:c r="S519" s="13"/>
      <x:c r="T519" s="13"/>
    </x:row>
    <x:row r="520">
      <x:c r="A520" s="13" t="str">
        <x:v>Lucas Beraldo</x:v>
      </x:c>
      <x:c r="B520" s="13" t="n">
        <x:v>2030</x:v>
      </x:c>
      <x:c r="C520" s="13" t="str">
        <x:v>T3</x:v>
      </x:c>
      <x:c r="D520" s="24" t="n">
        <x:v>47756</x:v>
      </x:c>
      <x:c r="E520" s="13" t="str">
        <x:v>Zagueiro</x:v>
      </x:c>
      <x:c r="F520" s="13" t="str">
        <x:v>Paris Saint-Germain</x:v>
      </x:c>
      <x:c r="G520" s="16"/>
      <x:c r="H520" s="16"/>
      <x:c r="I520" s="16"/>
      <x:c r="J520" s="16"/>
      <x:c r="K520" s="16" t="str">
        <x:f>IF(COUNT(G520,I520)=0,"",AVERAGE(G520,I520))</x:f>
      </x:c>
      <x:c r="L520" s="16" t="str">
        <x:f>IF(COUNT(H520,J520)=0,"",AVERAGE(H520,J520))</x:f>
      </x:c>
      <x:c r="M520" s="16" t="str">
        <x:f>IF(OR(K520="",L520=""),"",L520-K520)</x:f>
      </x:c>
      <x:c r="N520" s="16" t="str">
        <x:f>IF(AND(A520=A519,ISNUMBER(K520),ISNUMBER(K519)),K520-K519,"")</x:f>
      </x:c>
      <x:c r="O520" s="13" t="str">
        <x:v>Sem informação</x:v>
      </x:c>
      <x:c r="P520" s="26"/>
      <x:c r="Q520" s="13"/>
      <x:c r="R520" s="13"/>
      <x:c r="S520" s="13"/>
      <x:c r="T520" s="13"/>
    </x:row>
    <x:row r="521">
      <x:c r="A521" s="13" t="str">
        <x:v>Lucas Beraldo</x:v>
      </x:c>
      <x:c r="B521" s="13" t="n">
        <x:v>2030</x:v>
      </x:c>
      <x:c r="C521" s="13" t="str">
        <x:v>T4</x:v>
      </x:c>
      <x:c r="D521" s="24" t="n">
        <x:v>47848</x:v>
      </x:c>
      <x:c r="E521" s="13" t="str">
        <x:v>Zagueiro</x:v>
      </x:c>
      <x:c r="F521" s="13" t="str">
        <x:v>Paris Saint-Germain</x:v>
      </x:c>
      <x:c r="G521" s="16"/>
      <x:c r="H521" s="16"/>
      <x:c r="I521" s="16"/>
      <x:c r="J521" s="16"/>
      <x:c r="K521" s="16" t="str">
        <x:f>IF(COUNT(G521,I521)=0,"",AVERAGE(G521,I521))</x:f>
      </x:c>
      <x:c r="L521" s="16" t="str">
        <x:f>IF(COUNT(H521,J521)=0,"",AVERAGE(H521,J521))</x:f>
      </x:c>
      <x:c r="M521" s="16" t="str">
        <x:f>IF(OR(K521="",L521=""),"",L521-K521)</x:f>
      </x:c>
      <x:c r="N521" s="16" t="str">
        <x:f>IF(AND(A521=A520,ISNUMBER(K521),ISNUMBER(K520)),K521-K520,"")</x:f>
      </x:c>
      <x:c r="O521" s="13" t="str">
        <x:v>Sem informação</x:v>
      </x:c>
      <x:c r="P521" s="26"/>
      <x:c r="Q521" s="13"/>
      <x:c r="R521" s="13"/>
      <x:c r="S521" s="13"/>
      <x:c r="T521" s="13"/>
    </x:row>
    <x:row r="522">
      <x:c r="A522" s="13" t="str">
        <x:v>Lucas Perri</x:v>
      </x:c>
      <x:c r="B522" s="13" t="n">
        <x:v>2026</x:v>
      </x:c>
      <x:c r="C522" s="13" t="str">
        <x:v>T1</x:v>
      </x:c>
      <x:c r="D522" s="24" t="n">
        <x:v>46112</x:v>
      </x:c>
      <x:c r="E522" s="13" t="str">
        <x:v>Goleiro</x:v>
      </x:c>
      <x:c r="F522" s="13" t="str">
        <x:v>Lyon</x:v>
      </x:c>
      <x:c r="G522" s="16"/>
      <x:c r="H522" s="16"/>
      <x:c r="I522" s="16"/>
      <x:c r="J522" s="16"/>
      <x:c r="K522" s="16" t="str">
        <x:f>IF(COUNT(G522,I522)=0,"",AVERAGE(G522,I522))</x:f>
      </x:c>
      <x:c r="L522" s="16" t="str">
        <x:f>IF(COUNT(H522,J522)=0,"",AVERAGE(H522,J522))</x:f>
      </x:c>
      <x:c r="M522" s="16" t="str">
        <x:f>IF(OR(K522="",L522=""),"",L522-K522)</x:f>
      </x:c>
      <x:c r="N522" s="16" t="str">
        <x:f>IF(AND(A522=A521,ISNUMBER(K522),ISNUMBER(K521)),K522-K521,"")</x:f>
      </x:c>
      <x:c r="O522" s="13" t="str">
        <x:v>Sem informação</x:v>
      </x:c>
      <x:c r="P522" s="26"/>
      <x:c r="Q522" s="13"/>
      <x:c r="R522" s="13"/>
      <x:c r="S522" s="13"/>
      <x:c r="T522" s="13"/>
    </x:row>
    <x:row r="523">
      <x:c r="A523" s="13" t="str">
        <x:v>Lucas Perri</x:v>
      </x:c>
      <x:c r="B523" s="13" t="n">
        <x:v>2026</x:v>
      </x:c>
      <x:c r="C523" s="13" t="str">
        <x:v>T2</x:v>
      </x:c>
      <x:c r="D523" s="24" t="n">
        <x:v>46203</x:v>
      </x:c>
      <x:c r="E523" s="13" t="str">
        <x:v>Goleiro</x:v>
      </x:c>
      <x:c r="F523" s="13" t="str">
        <x:v>Lyon</x:v>
      </x:c>
      <x:c r="G523" s="16"/>
      <x:c r="H523" s="16"/>
      <x:c r="I523" s="16"/>
      <x:c r="J523" s="16"/>
      <x:c r="K523" s="16" t="str">
        <x:f>IF(COUNT(G523,I523)=0,"",AVERAGE(G523,I523))</x:f>
      </x:c>
      <x:c r="L523" s="16" t="str">
        <x:f>IF(COUNT(H523,J523)=0,"",AVERAGE(H523,J523))</x:f>
      </x:c>
      <x:c r="M523" s="16" t="str">
        <x:f>IF(OR(K523="",L523=""),"",L523-K523)</x:f>
      </x:c>
      <x:c r="N523" s="16" t="str">
        <x:f>IF(AND(A523=A522,ISNUMBER(K523),ISNUMBER(K522)),K523-K522,"")</x:f>
      </x:c>
      <x:c r="O523" s="13" t="str">
        <x:v>Sem informação</x:v>
      </x:c>
      <x:c r="P523" s="26"/>
      <x:c r="Q523" s="13"/>
      <x:c r="R523" s="13"/>
      <x:c r="S523" s="13"/>
      <x:c r="T523" s="13"/>
    </x:row>
    <x:row r="524">
      <x:c r="A524" s="13" t="str">
        <x:v>Lucas Perri</x:v>
      </x:c>
      <x:c r="B524" s="13" t="n">
        <x:v>2026</x:v>
      </x:c>
      <x:c r="C524" s="13" t="str">
        <x:v>T3</x:v>
      </x:c>
      <x:c r="D524" s="24" t="n">
        <x:v>46295</x:v>
      </x:c>
      <x:c r="E524" s="13" t="str">
        <x:v>Goleiro</x:v>
      </x:c>
      <x:c r="F524" s="13" t="str">
        <x:v>Lyon</x:v>
      </x:c>
      <x:c r="G524" s="16"/>
      <x:c r="H524" s="16"/>
      <x:c r="I524" s="16"/>
      <x:c r="J524" s="16"/>
      <x:c r="K524" s="16" t="str">
        <x:f>IF(COUNT(G524,I524)=0,"",AVERAGE(G524,I524))</x:f>
      </x:c>
      <x:c r="L524" s="16" t="str">
        <x:f>IF(COUNT(H524,J524)=0,"",AVERAGE(H524,J524))</x:f>
      </x:c>
      <x:c r="M524" s="16" t="str">
        <x:f>IF(OR(K524="",L524=""),"",L524-K524)</x:f>
      </x:c>
      <x:c r="N524" s="16" t="str">
        <x:f>IF(AND(A524=A523,ISNUMBER(K524),ISNUMBER(K523)),K524-K523,"")</x:f>
      </x:c>
      <x:c r="O524" s="13" t="str">
        <x:v>Sem informação</x:v>
      </x:c>
      <x:c r="P524" s="26"/>
      <x:c r="Q524" s="13"/>
      <x:c r="R524" s="13"/>
      <x:c r="S524" s="13"/>
      <x:c r="T524" s="13"/>
    </x:row>
    <x:row r="525">
      <x:c r="A525" s="13" t="str">
        <x:v>Lucas Perri</x:v>
      </x:c>
      <x:c r="B525" s="13" t="n">
        <x:v>2026</x:v>
      </x:c>
      <x:c r="C525" s="13" t="str">
        <x:v>T4</x:v>
      </x:c>
      <x:c r="D525" s="24" t="n">
        <x:v>46387</x:v>
      </x:c>
      <x:c r="E525" s="13" t="str">
        <x:v>Goleiro</x:v>
      </x:c>
      <x:c r="F525" s="13" t="str">
        <x:v>Lyon</x:v>
      </x:c>
      <x:c r="G525" s="16"/>
      <x:c r="H525" s="16"/>
      <x:c r="I525" s="16"/>
      <x:c r="J525" s="16"/>
      <x:c r="K525" s="16" t="str">
        <x:f>IF(COUNT(G525,I525)=0,"",AVERAGE(G525,I525))</x:f>
      </x:c>
      <x:c r="L525" s="16" t="str">
        <x:f>IF(COUNT(H525,J525)=0,"",AVERAGE(H525,J525))</x:f>
      </x:c>
      <x:c r="M525" s="16" t="str">
        <x:f>IF(OR(K525="",L525=""),"",L525-K525)</x:f>
      </x:c>
      <x:c r="N525" s="16" t="str">
        <x:f>IF(AND(A525=A524,ISNUMBER(K525),ISNUMBER(K524)),K525-K524,"")</x:f>
      </x:c>
      <x:c r="O525" s="13" t="str">
        <x:v>Sem informação</x:v>
      </x:c>
      <x:c r="P525" s="26"/>
      <x:c r="Q525" s="13"/>
      <x:c r="R525" s="13"/>
      <x:c r="S525" s="13"/>
      <x:c r="T525" s="13"/>
    </x:row>
    <x:row r="526">
      <x:c r="A526" s="13" t="str">
        <x:v>Lucas Perri</x:v>
      </x:c>
      <x:c r="B526" s="13" t="n">
        <x:v>2027</x:v>
      </x:c>
      <x:c r="C526" s="13" t="str">
        <x:v>T1</x:v>
      </x:c>
      <x:c r="D526" s="24" t="n">
        <x:v>46477</x:v>
      </x:c>
      <x:c r="E526" s="13" t="str">
        <x:v>Goleiro</x:v>
      </x:c>
      <x:c r="F526" s="13" t="str">
        <x:v>Lyon</x:v>
      </x:c>
      <x:c r="G526" s="16"/>
      <x:c r="H526" s="16"/>
      <x:c r="I526" s="16"/>
      <x:c r="J526" s="16"/>
      <x:c r="K526" s="16" t="str">
        <x:f>IF(COUNT(G526,I526)=0,"",AVERAGE(G526,I526))</x:f>
      </x:c>
      <x:c r="L526" s="16" t="str">
        <x:f>IF(COUNT(H526,J526)=0,"",AVERAGE(H526,J526))</x:f>
      </x:c>
      <x:c r="M526" s="16" t="str">
        <x:f>IF(OR(K526="",L526=""),"",L526-K526)</x:f>
      </x:c>
      <x:c r="N526" s="16" t="str">
        <x:f>IF(AND(A526=A525,ISNUMBER(K526),ISNUMBER(K525)),K526-K525,"")</x:f>
      </x:c>
      <x:c r="O526" s="13" t="str">
        <x:v>Sem informação</x:v>
      </x:c>
      <x:c r="P526" s="26"/>
      <x:c r="Q526" s="13"/>
      <x:c r="R526" s="13"/>
      <x:c r="S526" s="13"/>
      <x:c r="T526" s="13"/>
    </x:row>
    <x:row r="527">
      <x:c r="A527" s="13" t="str">
        <x:v>Lucas Perri</x:v>
      </x:c>
      <x:c r="B527" s="13" t="n">
        <x:v>2027</x:v>
      </x:c>
      <x:c r="C527" s="13" t="str">
        <x:v>T2</x:v>
      </x:c>
      <x:c r="D527" s="24" t="n">
        <x:v>46568</x:v>
      </x:c>
      <x:c r="E527" s="13" t="str">
        <x:v>Goleiro</x:v>
      </x:c>
      <x:c r="F527" s="13" t="str">
        <x:v>Lyon</x:v>
      </x:c>
      <x:c r="G527" s="16"/>
      <x:c r="H527" s="16"/>
      <x:c r="I527" s="16"/>
      <x:c r="J527" s="16"/>
      <x:c r="K527" s="16" t="str">
        <x:f>IF(COUNT(G527,I527)=0,"",AVERAGE(G527,I527))</x:f>
      </x:c>
      <x:c r="L527" s="16" t="str">
        <x:f>IF(COUNT(H527,J527)=0,"",AVERAGE(H527,J527))</x:f>
      </x:c>
      <x:c r="M527" s="16" t="str">
        <x:f>IF(OR(K527="",L527=""),"",L527-K527)</x:f>
      </x:c>
      <x:c r="N527" s="16" t="str">
        <x:f>IF(AND(A527=A526,ISNUMBER(K527),ISNUMBER(K526)),K527-K526,"")</x:f>
      </x:c>
      <x:c r="O527" s="13" t="str">
        <x:v>Sem informação</x:v>
      </x:c>
      <x:c r="P527" s="26"/>
      <x:c r="Q527" s="13"/>
      <x:c r="R527" s="13"/>
      <x:c r="S527" s="13"/>
      <x:c r="T527" s="13"/>
    </x:row>
    <x:row r="528">
      <x:c r="A528" s="13" t="str">
        <x:v>Lucas Perri</x:v>
      </x:c>
      <x:c r="B528" s="13" t="n">
        <x:v>2027</x:v>
      </x:c>
      <x:c r="C528" s="13" t="str">
        <x:v>T3</x:v>
      </x:c>
      <x:c r="D528" s="24" t="n">
        <x:v>46660</x:v>
      </x:c>
      <x:c r="E528" s="13" t="str">
        <x:v>Goleiro</x:v>
      </x:c>
      <x:c r="F528" s="13" t="str">
        <x:v>Lyon</x:v>
      </x:c>
      <x:c r="G528" s="16"/>
      <x:c r="H528" s="16"/>
      <x:c r="I528" s="16"/>
      <x:c r="J528" s="16"/>
      <x:c r="K528" s="16" t="str">
        <x:f>IF(COUNT(G528,I528)=0,"",AVERAGE(G528,I528))</x:f>
      </x:c>
      <x:c r="L528" s="16" t="str">
        <x:f>IF(COUNT(H528,J528)=0,"",AVERAGE(H528,J528))</x:f>
      </x:c>
      <x:c r="M528" s="16" t="str">
        <x:f>IF(OR(K528="",L528=""),"",L528-K528)</x:f>
      </x:c>
      <x:c r="N528" s="16" t="str">
        <x:f>IF(AND(A528=A527,ISNUMBER(K528),ISNUMBER(K527)),K528-K527,"")</x:f>
      </x:c>
      <x:c r="O528" s="13" t="str">
        <x:v>Sem informação</x:v>
      </x:c>
      <x:c r="P528" s="26"/>
      <x:c r="Q528" s="13"/>
      <x:c r="R528" s="13"/>
      <x:c r="S528" s="13"/>
      <x:c r="T528" s="13"/>
    </x:row>
    <x:row r="529">
      <x:c r="A529" s="13" t="str">
        <x:v>Lucas Perri</x:v>
      </x:c>
      <x:c r="B529" s="13" t="n">
        <x:v>2027</x:v>
      </x:c>
      <x:c r="C529" s="13" t="str">
        <x:v>T4</x:v>
      </x:c>
      <x:c r="D529" s="24" t="n">
        <x:v>46752</x:v>
      </x:c>
      <x:c r="E529" s="13" t="str">
        <x:v>Goleiro</x:v>
      </x:c>
      <x:c r="F529" s="13" t="str">
        <x:v>Lyon</x:v>
      </x:c>
      <x:c r="G529" s="16"/>
      <x:c r="H529" s="16"/>
      <x:c r="I529" s="16"/>
      <x:c r="J529" s="16"/>
      <x:c r="K529" s="16" t="str">
        <x:f>IF(COUNT(G529,I529)=0,"",AVERAGE(G529,I529))</x:f>
      </x:c>
      <x:c r="L529" s="16" t="str">
        <x:f>IF(COUNT(H529,J529)=0,"",AVERAGE(H529,J529))</x:f>
      </x:c>
      <x:c r="M529" s="16" t="str">
        <x:f>IF(OR(K529="",L529=""),"",L529-K529)</x:f>
      </x:c>
      <x:c r="N529" s="16" t="str">
        <x:f>IF(AND(A529=A528,ISNUMBER(K529),ISNUMBER(K528)),K529-K528,"")</x:f>
      </x:c>
      <x:c r="O529" s="13" t="str">
        <x:v>Sem informação</x:v>
      </x:c>
      <x:c r="P529" s="26"/>
      <x:c r="Q529" s="13"/>
      <x:c r="R529" s="13"/>
      <x:c r="S529" s="13"/>
      <x:c r="T529" s="13"/>
    </x:row>
    <x:row r="530">
      <x:c r="A530" s="13" t="str">
        <x:v>Lucas Perri</x:v>
      </x:c>
      <x:c r="B530" s="13" t="n">
        <x:v>2028</x:v>
      </x:c>
      <x:c r="C530" s="13" t="str">
        <x:v>T1</x:v>
      </x:c>
      <x:c r="D530" s="24" t="n">
        <x:v>46843</x:v>
      </x:c>
      <x:c r="E530" s="13" t="str">
        <x:v>Goleiro</x:v>
      </x:c>
      <x:c r="F530" s="13" t="str">
        <x:v>Lyon</x:v>
      </x:c>
      <x:c r="G530" s="16"/>
      <x:c r="H530" s="16"/>
      <x:c r="I530" s="16"/>
      <x:c r="J530" s="16"/>
      <x:c r="K530" s="16" t="str">
        <x:f>IF(COUNT(G530,I530)=0,"",AVERAGE(G530,I530))</x:f>
      </x:c>
      <x:c r="L530" s="16" t="str">
        <x:f>IF(COUNT(H530,J530)=0,"",AVERAGE(H530,J530))</x:f>
      </x:c>
      <x:c r="M530" s="16" t="str">
        <x:f>IF(OR(K530="",L530=""),"",L530-K530)</x:f>
      </x:c>
      <x:c r="N530" s="16" t="str">
        <x:f>IF(AND(A530=A529,ISNUMBER(K530),ISNUMBER(K529)),K530-K529,"")</x:f>
      </x:c>
      <x:c r="O530" s="13" t="str">
        <x:v>Sem informação</x:v>
      </x:c>
      <x:c r="P530" s="26"/>
      <x:c r="Q530" s="13"/>
      <x:c r="R530" s="13"/>
      <x:c r="S530" s="13"/>
      <x:c r="T530" s="13"/>
    </x:row>
    <x:row r="531">
      <x:c r="A531" s="13" t="str">
        <x:v>Lucas Perri</x:v>
      </x:c>
      <x:c r="B531" s="13" t="n">
        <x:v>2028</x:v>
      </x:c>
      <x:c r="C531" s="13" t="str">
        <x:v>T2</x:v>
      </x:c>
      <x:c r="D531" s="24" t="n">
        <x:v>46934</x:v>
      </x:c>
      <x:c r="E531" s="13" t="str">
        <x:v>Goleiro</x:v>
      </x:c>
      <x:c r="F531" s="13" t="str">
        <x:v>Lyon</x:v>
      </x:c>
      <x:c r="G531" s="16"/>
      <x:c r="H531" s="16"/>
      <x:c r="I531" s="16"/>
      <x:c r="J531" s="16"/>
      <x:c r="K531" s="16" t="str">
        <x:f>IF(COUNT(G531,I531)=0,"",AVERAGE(G531,I531))</x:f>
      </x:c>
      <x:c r="L531" s="16" t="str">
        <x:f>IF(COUNT(H531,J531)=0,"",AVERAGE(H531,J531))</x:f>
      </x:c>
      <x:c r="M531" s="16" t="str">
        <x:f>IF(OR(K531="",L531=""),"",L531-K531)</x:f>
      </x:c>
      <x:c r="N531" s="16" t="str">
        <x:f>IF(AND(A531=A530,ISNUMBER(K531),ISNUMBER(K530)),K531-K530,"")</x:f>
      </x:c>
      <x:c r="O531" s="13" t="str">
        <x:v>Sem informação</x:v>
      </x:c>
      <x:c r="P531" s="26"/>
      <x:c r="Q531" s="13"/>
      <x:c r="R531" s="13"/>
      <x:c r="S531" s="13"/>
      <x:c r="T531" s="13"/>
    </x:row>
    <x:row r="532">
      <x:c r="A532" s="13" t="str">
        <x:v>Lucas Perri</x:v>
      </x:c>
      <x:c r="B532" s="13" t="n">
        <x:v>2028</x:v>
      </x:c>
      <x:c r="C532" s="13" t="str">
        <x:v>T3</x:v>
      </x:c>
      <x:c r="D532" s="24" t="n">
        <x:v>47026</x:v>
      </x:c>
      <x:c r="E532" s="13" t="str">
        <x:v>Goleiro</x:v>
      </x:c>
      <x:c r="F532" s="13" t="str">
        <x:v>Lyon</x:v>
      </x:c>
      <x:c r="G532" s="16"/>
      <x:c r="H532" s="16"/>
      <x:c r="I532" s="16"/>
      <x:c r="J532" s="16"/>
      <x:c r="K532" s="16" t="str">
        <x:f>IF(COUNT(G532,I532)=0,"",AVERAGE(G532,I532))</x:f>
      </x:c>
      <x:c r="L532" s="16" t="str">
        <x:f>IF(COUNT(H532,J532)=0,"",AVERAGE(H532,J532))</x:f>
      </x:c>
      <x:c r="M532" s="16" t="str">
        <x:f>IF(OR(K532="",L532=""),"",L532-K532)</x:f>
      </x:c>
      <x:c r="N532" s="16" t="str">
        <x:f>IF(AND(A532=A531,ISNUMBER(K532),ISNUMBER(K531)),K532-K531,"")</x:f>
      </x:c>
      <x:c r="O532" s="13" t="str">
        <x:v>Sem informação</x:v>
      </x:c>
      <x:c r="P532" s="26"/>
      <x:c r="Q532" s="13"/>
      <x:c r="R532" s="13"/>
      <x:c r="S532" s="13"/>
      <x:c r="T532" s="13"/>
    </x:row>
    <x:row r="533">
      <x:c r="A533" s="13" t="str">
        <x:v>Lucas Perri</x:v>
      </x:c>
      <x:c r="B533" s="13" t="n">
        <x:v>2028</x:v>
      </x:c>
      <x:c r="C533" s="13" t="str">
        <x:v>T4</x:v>
      </x:c>
      <x:c r="D533" s="24" t="n">
        <x:v>47118</x:v>
      </x:c>
      <x:c r="E533" s="13" t="str">
        <x:v>Goleiro</x:v>
      </x:c>
      <x:c r="F533" s="13" t="str">
        <x:v>Lyon</x:v>
      </x:c>
      <x:c r="G533" s="16"/>
      <x:c r="H533" s="16"/>
      <x:c r="I533" s="16"/>
      <x:c r="J533" s="16"/>
      <x:c r="K533" s="16" t="str">
        <x:f>IF(COUNT(G533,I533)=0,"",AVERAGE(G533,I533))</x:f>
      </x:c>
      <x:c r="L533" s="16" t="str">
        <x:f>IF(COUNT(H533,J533)=0,"",AVERAGE(H533,J533))</x:f>
      </x:c>
      <x:c r="M533" s="16" t="str">
        <x:f>IF(OR(K533="",L533=""),"",L533-K533)</x:f>
      </x:c>
      <x:c r="N533" s="16" t="str">
        <x:f>IF(AND(A533=A532,ISNUMBER(K533),ISNUMBER(K532)),K533-K532,"")</x:f>
      </x:c>
      <x:c r="O533" s="13" t="str">
        <x:v>Sem informação</x:v>
      </x:c>
      <x:c r="P533" s="26"/>
      <x:c r="Q533" s="13"/>
      <x:c r="R533" s="13"/>
      <x:c r="S533" s="13"/>
      <x:c r="T533" s="13"/>
    </x:row>
    <x:row r="534">
      <x:c r="A534" s="13" t="str">
        <x:v>Lucas Perri</x:v>
      </x:c>
      <x:c r="B534" s="13" t="n">
        <x:v>2029</x:v>
      </x:c>
      <x:c r="C534" s="13" t="str">
        <x:v>T1</x:v>
      </x:c>
      <x:c r="D534" s="24" t="n">
        <x:v>47208</x:v>
      </x:c>
      <x:c r="E534" s="13" t="str">
        <x:v>Goleiro</x:v>
      </x:c>
      <x:c r="F534" s="13" t="str">
        <x:v>Lyon</x:v>
      </x:c>
      <x:c r="G534" s="16"/>
      <x:c r="H534" s="16"/>
      <x:c r="I534" s="16"/>
      <x:c r="J534" s="16"/>
      <x:c r="K534" s="16" t="str">
        <x:f>IF(COUNT(G534,I534)=0,"",AVERAGE(G534,I534))</x:f>
      </x:c>
      <x:c r="L534" s="16" t="str">
        <x:f>IF(COUNT(H534,J534)=0,"",AVERAGE(H534,J534))</x:f>
      </x:c>
      <x:c r="M534" s="16" t="str">
        <x:f>IF(OR(K534="",L534=""),"",L534-K534)</x:f>
      </x:c>
      <x:c r="N534" s="16" t="str">
        <x:f>IF(AND(A534=A533,ISNUMBER(K534),ISNUMBER(K533)),K534-K533,"")</x:f>
      </x:c>
      <x:c r="O534" s="13" t="str">
        <x:v>Sem informação</x:v>
      </x:c>
      <x:c r="P534" s="26"/>
      <x:c r="Q534" s="13"/>
      <x:c r="R534" s="13"/>
      <x:c r="S534" s="13"/>
      <x:c r="T534" s="13"/>
    </x:row>
    <x:row r="535">
      <x:c r="A535" s="13" t="str">
        <x:v>Lucas Perri</x:v>
      </x:c>
      <x:c r="B535" s="13" t="n">
        <x:v>2029</x:v>
      </x:c>
      <x:c r="C535" s="13" t="str">
        <x:v>T2</x:v>
      </x:c>
      <x:c r="D535" s="24" t="n">
        <x:v>47299</x:v>
      </x:c>
      <x:c r="E535" s="13" t="str">
        <x:v>Goleiro</x:v>
      </x:c>
      <x:c r="F535" s="13" t="str">
        <x:v>Lyon</x:v>
      </x:c>
      <x:c r="G535" s="16"/>
      <x:c r="H535" s="16"/>
      <x:c r="I535" s="16"/>
      <x:c r="J535" s="16"/>
      <x:c r="K535" s="16" t="str">
        <x:f>IF(COUNT(G535,I535)=0,"",AVERAGE(G535,I535))</x:f>
      </x:c>
      <x:c r="L535" s="16" t="str">
        <x:f>IF(COUNT(H535,J535)=0,"",AVERAGE(H535,J535))</x:f>
      </x:c>
      <x:c r="M535" s="16" t="str">
        <x:f>IF(OR(K535="",L535=""),"",L535-K535)</x:f>
      </x:c>
      <x:c r="N535" s="16" t="str">
        <x:f>IF(AND(A535=A534,ISNUMBER(K535),ISNUMBER(K534)),K535-K534,"")</x:f>
      </x:c>
      <x:c r="O535" s="13" t="str">
        <x:v>Sem informação</x:v>
      </x:c>
      <x:c r="P535" s="26"/>
      <x:c r="Q535" s="13"/>
      <x:c r="R535" s="13"/>
      <x:c r="S535" s="13"/>
      <x:c r="T535" s="13"/>
    </x:row>
    <x:row r="536">
      <x:c r="A536" s="13" t="str">
        <x:v>Lucas Perri</x:v>
      </x:c>
      <x:c r="B536" s="13" t="n">
        <x:v>2029</x:v>
      </x:c>
      <x:c r="C536" s="13" t="str">
        <x:v>T3</x:v>
      </x:c>
      <x:c r="D536" s="24" t="n">
        <x:v>47391</x:v>
      </x:c>
      <x:c r="E536" s="13" t="str">
        <x:v>Goleiro</x:v>
      </x:c>
      <x:c r="F536" s="13" t="str">
        <x:v>Lyon</x:v>
      </x:c>
      <x:c r="G536" s="16"/>
      <x:c r="H536" s="16"/>
      <x:c r="I536" s="16"/>
      <x:c r="J536" s="16"/>
      <x:c r="K536" s="16" t="str">
        <x:f>IF(COUNT(G536,I536)=0,"",AVERAGE(G536,I536))</x:f>
      </x:c>
      <x:c r="L536" s="16" t="str">
        <x:f>IF(COUNT(H536,J536)=0,"",AVERAGE(H536,J536))</x:f>
      </x:c>
      <x:c r="M536" s="16" t="str">
        <x:f>IF(OR(K536="",L536=""),"",L536-K536)</x:f>
      </x:c>
      <x:c r="N536" s="16" t="str">
        <x:f>IF(AND(A536=A535,ISNUMBER(K536),ISNUMBER(K535)),K536-K535,"")</x:f>
      </x:c>
      <x:c r="O536" s="13" t="str">
        <x:v>Sem informação</x:v>
      </x:c>
      <x:c r="P536" s="26"/>
      <x:c r="Q536" s="13"/>
      <x:c r="R536" s="13"/>
      <x:c r="S536" s="13"/>
      <x:c r="T536" s="13"/>
    </x:row>
    <x:row r="537">
      <x:c r="A537" s="13" t="str">
        <x:v>Lucas Perri</x:v>
      </x:c>
      <x:c r="B537" s="13" t="n">
        <x:v>2029</x:v>
      </x:c>
      <x:c r="C537" s="13" t="str">
        <x:v>T4</x:v>
      </x:c>
      <x:c r="D537" s="24" t="n">
        <x:v>47483</x:v>
      </x:c>
      <x:c r="E537" s="13" t="str">
        <x:v>Goleiro</x:v>
      </x:c>
      <x:c r="F537" s="13" t="str">
        <x:v>Lyon</x:v>
      </x:c>
      <x:c r="G537" s="16"/>
      <x:c r="H537" s="16"/>
      <x:c r="I537" s="16"/>
      <x:c r="J537" s="16"/>
      <x:c r="K537" s="16" t="str">
        <x:f>IF(COUNT(G537,I537)=0,"",AVERAGE(G537,I537))</x:f>
      </x:c>
      <x:c r="L537" s="16" t="str">
        <x:f>IF(COUNT(H537,J537)=0,"",AVERAGE(H537,J537))</x:f>
      </x:c>
      <x:c r="M537" s="16" t="str">
        <x:f>IF(OR(K537="",L537=""),"",L537-K537)</x:f>
      </x:c>
      <x:c r="N537" s="16" t="str">
        <x:f>IF(AND(A537=A536,ISNUMBER(K537),ISNUMBER(K536)),K537-K536,"")</x:f>
      </x:c>
      <x:c r="O537" s="13" t="str">
        <x:v>Sem informação</x:v>
      </x:c>
      <x:c r="P537" s="26"/>
      <x:c r="Q537" s="13"/>
      <x:c r="R537" s="13"/>
      <x:c r="S537" s="13"/>
      <x:c r="T537" s="13"/>
    </x:row>
    <x:row r="538">
      <x:c r="A538" s="13" t="str">
        <x:v>Lucas Perri</x:v>
      </x:c>
      <x:c r="B538" s="13" t="n">
        <x:v>2030</x:v>
      </x:c>
      <x:c r="C538" s="13" t="str">
        <x:v>T1</x:v>
      </x:c>
      <x:c r="D538" s="24" t="n">
        <x:v>47573</x:v>
      </x:c>
      <x:c r="E538" s="13" t="str">
        <x:v>Goleiro</x:v>
      </x:c>
      <x:c r="F538" s="13" t="str">
        <x:v>Lyon</x:v>
      </x:c>
      <x:c r="G538" s="16"/>
      <x:c r="H538" s="16"/>
      <x:c r="I538" s="16"/>
      <x:c r="J538" s="16"/>
      <x:c r="K538" s="16" t="str">
        <x:f>IF(COUNT(G538,I538)=0,"",AVERAGE(G538,I538))</x:f>
      </x:c>
      <x:c r="L538" s="16" t="str">
        <x:f>IF(COUNT(H538,J538)=0,"",AVERAGE(H538,J538))</x:f>
      </x:c>
      <x:c r="M538" s="16" t="str">
        <x:f>IF(OR(K538="",L538=""),"",L538-K538)</x:f>
      </x:c>
      <x:c r="N538" s="16" t="str">
        <x:f>IF(AND(A538=A537,ISNUMBER(K538),ISNUMBER(K537)),K538-K537,"")</x:f>
      </x:c>
      <x:c r="O538" s="13" t="str">
        <x:v>Sem informação</x:v>
      </x:c>
      <x:c r="P538" s="26"/>
      <x:c r="Q538" s="13"/>
      <x:c r="R538" s="13"/>
      <x:c r="S538" s="13"/>
      <x:c r="T538" s="13"/>
    </x:row>
    <x:row r="539">
      <x:c r="A539" s="13" t="str">
        <x:v>Lucas Perri</x:v>
      </x:c>
      <x:c r="B539" s="13" t="n">
        <x:v>2030</x:v>
      </x:c>
      <x:c r="C539" s="13" t="str">
        <x:v>T2</x:v>
      </x:c>
      <x:c r="D539" s="24" t="n">
        <x:v>47664</x:v>
      </x:c>
      <x:c r="E539" s="13" t="str">
        <x:v>Goleiro</x:v>
      </x:c>
      <x:c r="F539" s="13" t="str">
        <x:v>Lyon</x:v>
      </x:c>
      <x:c r="G539" s="16"/>
      <x:c r="H539" s="16"/>
      <x:c r="I539" s="16"/>
      <x:c r="J539" s="16"/>
      <x:c r="K539" s="16" t="str">
        <x:f>IF(COUNT(G539,I539)=0,"",AVERAGE(G539,I539))</x:f>
      </x:c>
      <x:c r="L539" s="16" t="str">
        <x:f>IF(COUNT(H539,J539)=0,"",AVERAGE(H539,J539))</x:f>
      </x:c>
      <x:c r="M539" s="16" t="str">
        <x:f>IF(OR(K539="",L539=""),"",L539-K539)</x:f>
      </x:c>
      <x:c r="N539" s="16" t="str">
        <x:f>IF(AND(A539=A538,ISNUMBER(K539),ISNUMBER(K538)),K539-K538,"")</x:f>
      </x:c>
      <x:c r="O539" s="13" t="str">
        <x:v>Sem informação</x:v>
      </x:c>
      <x:c r="P539" s="26"/>
      <x:c r="Q539" s="13"/>
      <x:c r="R539" s="13"/>
      <x:c r="S539" s="13"/>
      <x:c r="T539" s="13"/>
    </x:row>
    <x:row r="540">
      <x:c r="A540" s="13" t="str">
        <x:v>Lucas Perri</x:v>
      </x:c>
      <x:c r="B540" s="13" t="n">
        <x:v>2030</x:v>
      </x:c>
      <x:c r="C540" s="13" t="str">
        <x:v>T3</x:v>
      </x:c>
      <x:c r="D540" s="24" t="n">
        <x:v>47756</x:v>
      </x:c>
      <x:c r="E540" s="13" t="str">
        <x:v>Goleiro</x:v>
      </x:c>
      <x:c r="F540" s="13" t="str">
        <x:v>Lyon</x:v>
      </x:c>
      <x:c r="G540" s="16"/>
      <x:c r="H540" s="16"/>
      <x:c r="I540" s="16"/>
      <x:c r="J540" s="16"/>
      <x:c r="K540" s="16" t="str">
        <x:f>IF(COUNT(G540,I540)=0,"",AVERAGE(G540,I540))</x:f>
      </x:c>
      <x:c r="L540" s="16" t="str">
        <x:f>IF(COUNT(H540,J540)=0,"",AVERAGE(H540,J540))</x:f>
      </x:c>
      <x:c r="M540" s="16" t="str">
        <x:f>IF(OR(K540="",L540=""),"",L540-K540)</x:f>
      </x:c>
      <x:c r="N540" s="16" t="str">
        <x:f>IF(AND(A540=A539,ISNUMBER(K540),ISNUMBER(K539)),K540-K539,"")</x:f>
      </x:c>
      <x:c r="O540" s="13" t="str">
        <x:v>Sem informação</x:v>
      </x:c>
      <x:c r="P540" s="26"/>
      <x:c r="Q540" s="13"/>
      <x:c r="R540" s="13"/>
      <x:c r="S540" s="13"/>
      <x:c r="T540" s="13"/>
    </x:row>
    <x:row r="541">
      <x:c r="A541" s="13" t="str">
        <x:v>Lucas Perri</x:v>
      </x:c>
      <x:c r="B541" s="13" t="n">
        <x:v>2030</x:v>
      </x:c>
      <x:c r="C541" s="13" t="str">
        <x:v>T4</x:v>
      </x:c>
      <x:c r="D541" s="24" t="n">
        <x:v>47848</x:v>
      </x:c>
      <x:c r="E541" s="13" t="str">
        <x:v>Goleiro</x:v>
      </x:c>
      <x:c r="F541" s="13" t="str">
        <x:v>Lyon</x:v>
      </x:c>
      <x:c r="G541" s="16"/>
      <x:c r="H541" s="16"/>
      <x:c r="I541" s="16"/>
      <x:c r="J541" s="16"/>
      <x:c r="K541" s="16" t="str">
        <x:f>IF(COUNT(G541,I541)=0,"",AVERAGE(G541,I541))</x:f>
      </x:c>
      <x:c r="L541" s="16" t="str">
        <x:f>IF(COUNT(H541,J541)=0,"",AVERAGE(H541,J541))</x:f>
      </x:c>
      <x:c r="M541" s="16" t="str">
        <x:f>IF(OR(K541="",L541=""),"",L541-K541)</x:f>
      </x:c>
      <x:c r="N541" s="16" t="str">
        <x:f>IF(AND(A541=A540,ISNUMBER(K541),ISNUMBER(K540)),K541-K540,"")</x:f>
      </x:c>
      <x:c r="O541" s="13" t="str">
        <x:v>Sem informação</x:v>
      </x:c>
      <x:c r="P541" s="26"/>
      <x:c r="Q541" s="13"/>
      <x:c r="R541" s="13"/>
      <x:c r="S541" s="13"/>
      <x:c r="T541" s="13"/>
    </x:row>
    <x:row r="542">
      <x:c r="A542" s="13" t="str">
        <x:v>Luciano Juba</x:v>
      </x:c>
      <x:c r="B542" s="13" t="n">
        <x:v>2026</x:v>
      </x:c>
      <x:c r="C542" s="13" t="str">
        <x:v>T1</x:v>
      </x:c>
      <x:c r="D542" s="24" t="n">
        <x:v>46112</x:v>
      </x:c>
      <x:c r="E542" s="13" t="str">
        <x:v>Lateral-esquerdo</x:v>
      </x:c>
      <x:c r="F542" s="13" t="str">
        <x:v>Bahia</x:v>
      </x:c>
      <x:c r="G542" s="16"/>
      <x:c r="H542" s="16"/>
      <x:c r="I542" s="16"/>
      <x:c r="J542" s="16"/>
      <x:c r="K542" s="16" t="str">
        <x:f>IF(COUNT(G542,I542)=0,"",AVERAGE(G542,I542))</x:f>
      </x:c>
      <x:c r="L542" s="16" t="str">
        <x:f>IF(COUNT(H542,J542)=0,"",AVERAGE(H542,J542))</x:f>
      </x:c>
      <x:c r="M542" s="16" t="str">
        <x:f>IF(OR(K542="",L542=""),"",L542-K542)</x:f>
      </x:c>
      <x:c r="N542" s="16" t="str">
        <x:f>IF(AND(A542=A541,ISNUMBER(K542),ISNUMBER(K541)),K542-K541,"")</x:f>
      </x:c>
      <x:c r="O542" s="13" t="str">
        <x:v>Sem informação</x:v>
      </x:c>
      <x:c r="P542" s="26"/>
      <x:c r="Q542" s="13"/>
      <x:c r="R542" s="13"/>
      <x:c r="S542" s="13"/>
      <x:c r="T542" s="13"/>
    </x:row>
    <x:row r="543">
      <x:c r="A543" s="13" t="str">
        <x:v>Luciano Juba</x:v>
      </x:c>
      <x:c r="B543" s="13" t="n">
        <x:v>2026</x:v>
      </x:c>
      <x:c r="C543" s="13" t="str">
        <x:v>T2</x:v>
      </x:c>
      <x:c r="D543" s="24" t="n">
        <x:v>46203</x:v>
      </x:c>
      <x:c r="E543" s="13" t="str">
        <x:v>Lateral-esquerdo</x:v>
      </x:c>
      <x:c r="F543" s="13" t="str">
        <x:v>Bahia</x:v>
      </x:c>
      <x:c r="G543" s="16"/>
      <x:c r="H543" s="16"/>
      <x:c r="I543" s="16"/>
      <x:c r="J543" s="16"/>
      <x:c r="K543" s="16" t="str">
        <x:f>IF(COUNT(G543,I543)=0,"",AVERAGE(G543,I543))</x:f>
      </x:c>
      <x:c r="L543" s="16" t="str">
        <x:f>IF(COUNT(H543,J543)=0,"",AVERAGE(H543,J543))</x:f>
      </x:c>
      <x:c r="M543" s="16" t="str">
        <x:f>IF(OR(K543="",L543=""),"",L543-K543)</x:f>
      </x:c>
      <x:c r="N543" s="16" t="str">
        <x:f>IF(AND(A543=A542,ISNUMBER(K543),ISNUMBER(K542)),K543-K542,"")</x:f>
      </x:c>
      <x:c r="O543" s="13" t="str">
        <x:v>Sem informação</x:v>
      </x:c>
      <x:c r="P543" s="26"/>
      <x:c r="Q543" s="13"/>
      <x:c r="R543" s="13"/>
      <x:c r="S543" s="13"/>
      <x:c r="T543" s="13"/>
    </x:row>
    <x:row r="544">
      <x:c r="A544" s="13" t="str">
        <x:v>Luciano Juba</x:v>
      </x:c>
      <x:c r="B544" s="13" t="n">
        <x:v>2026</x:v>
      </x:c>
      <x:c r="C544" s="13" t="str">
        <x:v>T3</x:v>
      </x:c>
      <x:c r="D544" s="24" t="n">
        <x:v>46295</x:v>
      </x:c>
      <x:c r="E544" s="13" t="str">
        <x:v>Lateral-esquerdo</x:v>
      </x:c>
      <x:c r="F544" s="13" t="str">
        <x:v>Bahia</x:v>
      </x:c>
      <x:c r="G544" s="16"/>
      <x:c r="H544" s="16"/>
      <x:c r="I544" s="16"/>
      <x:c r="J544" s="16"/>
      <x:c r="K544" s="16" t="str">
        <x:f>IF(COUNT(G544,I544)=0,"",AVERAGE(G544,I544))</x:f>
      </x:c>
      <x:c r="L544" s="16" t="str">
        <x:f>IF(COUNT(H544,J544)=0,"",AVERAGE(H544,J544))</x:f>
      </x:c>
      <x:c r="M544" s="16" t="str">
        <x:f>IF(OR(K544="",L544=""),"",L544-K544)</x:f>
      </x:c>
      <x:c r="N544" s="16" t="str">
        <x:f>IF(AND(A544=A543,ISNUMBER(K544),ISNUMBER(K543)),K544-K543,"")</x:f>
      </x:c>
      <x:c r="O544" s="13" t="str">
        <x:v>Sem informação</x:v>
      </x:c>
      <x:c r="P544" s="26"/>
      <x:c r="Q544" s="13"/>
      <x:c r="R544" s="13"/>
      <x:c r="S544" s="13"/>
      <x:c r="T544" s="13"/>
    </x:row>
    <x:row r="545">
      <x:c r="A545" s="13" t="str">
        <x:v>Luciano Juba</x:v>
      </x:c>
      <x:c r="B545" s="13" t="n">
        <x:v>2026</x:v>
      </x:c>
      <x:c r="C545" s="13" t="str">
        <x:v>T4</x:v>
      </x:c>
      <x:c r="D545" s="24" t="n">
        <x:v>46387</x:v>
      </x:c>
      <x:c r="E545" s="13" t="str">
        <x:v>Lateral-esquerdo</x:v>
      </x:c>
      <x:c r="F545" s="13" t="str">
        <x:v>Bahia</x:v>
      </x:c>
      <x:c r="G545" s="16"/>
      <x:c r="H545" s="16"/>
      <x:c r="I545" s="16"/>
      <x:c r="J545" s="16"/>
      <x:c r="K545" s="16" t="str">
        <x:f>IF(COUNT(G545,I545)=0,"",AVERAGE(G545,I545))</x:f>
      </x:c>
      <x:c r="L545" s="16" t="str">
        <x:f>IF(COUNT(H545,J545)=0,"",AVERAGE(H545,J545))</x:f>
      </x:c>
      <x:c r="M545" s="16" t="str">
        <x:f>IF(OR(K545="",L545=""),"",L545-K545)</x:f>
      </x:c>
      <x:c r="N545" s="16" t="str">
        <x:f>IF(AND(A545=A544,ISNUMBER(K545),ISNUMBER(K544)),K545-K544,"")</x:f>
      </x:c>
      <x:c r="O545" s="13" t="str">
        <x:v>Sem informação</x:v>
      </x:c>
      <x:c r="P545" s="26"/>
      <x:c r="Q545" s="13"/>
      <x:c r="R545" s="13"/>
      <x:c r="S545" s="13"/>
      <x:c r="T545" s="13"/>
    </x:row>
    <x:row r="546">
      <x:c r="A546" s="13" t="str">
        <x:v>Luciano Juba</x:v>
      </x:c>
      <x:c r="B546" s="13" t="n">
        <x:v>2027</x:v>
      </x:c>
      <x:c r="C546" s="13" t="str">
        <x:v>T1</x:v>
      </x:c>
      <x:c r="D546" s="24" t="n">
        <x:v>46477</x:v>
      </x:c>
      <x:c r="E546" s="13" t="str">
        <x:v>Lateral-esquerdo</x:v>
      </x:c>
      <x:c r="F546" s="13" t="str">
        <x:v>Bahia</x:v>
      </x:c>
      <x:c r="G546" s="16"/>
      <x:c r="H546" s="16"/>
      <x:c r="I546" s="16"/>
      <x:c r="J546" s="16"/>
      <x:c r="K546" s="16" t="str">
        <x:f>IF(COUNT(G546,I546)=0,"",AVERAGE(G546,I546))</x:f>
      </x:c>
      <x:c r="L546" s="16" t="str">
        <x:f>IF(COUNT(H546,J546)=0,"",AVERAGE(H546,J546))</x:f>
      </x:c>
      <x:c r="M546" s="16" t="str">
        <x:f>IF(OR(K546="",L546=""),"",L546-K546)</x:f>
      </x:c>
      <x:c r="N546" s="16" t="str">
        <x:f>IF(AND(A546=A545,ISNUMBER(K546),ISNUMBER(K545)),K546-K545,"")</x:f>
      </x:c>
      <x:c r="O546" s="13" t="str">
        <x:v>Sem informação</x:v>
      </x:c>
      <x:c r="P546" s="26"/>
      <x:c r="Q546" s="13"/>
      <x:c r="R546" s="13"/>
      <x:c r="S546" s="13"/>
      <x:c r="T546" s="13"/>
    </x:row>
    <x:row r="547">
      <x:c r="A547" s="13" t="str">
        <x:v>Luciano Juba</x:v>
      </x:c>
      <x:c r="B547" s="13" t="n">
        <x:v>2027</x:v>
      </x:c>
      <x:c r="C547" s="13" t="str">
        <x:v>T2</x:v>
      </x:c>
      <x:c r="D547" s="24" t="n">
        <x:v>46568</x:v>
      </x:c>
      <x:c r="E547" s="13" t="str">
        <x:v>Lateral-esquerdo</x:v>
      </x:c>
      <x:c r="F547" s="13" t="str">
        <x:v>Bahia</x:v>
      </x:c>
      <x:c r="G547" s="16"/>
      <x:c r="H547" s="16"/>
      <x:c r="I547" s="16"/>
      <x:c r="J547" s="16"/>
      <x:c r="K547" s="16" t="str">
        <x:f>IF(COUNT(G547,I547)=0,"",AVERAGE(G547,I547))</x:f>
      </x:c>
      <x:c r="L547" s="16" t="str">
        <x:f>IF(COUNT(H547,J547)=0,"",AVERAGE(H547,J547))</x:f>
      </x:c>
      <x:c r="M547" s="16" t="str">
        <x:f>IF(OR(K547="",L547=""),"",L547-K547)</x:f>
      </x:c>
      <x:c r="N547" s="16" t="str">
        <x:f>IF(AND(A547=A546,ISNUMBER(K547),ISNUMBER(K546)),K547-K546,"")</x:f>
      </x:c>
      <x:c r="O547" s="13" t="str">
        <x:v>Sem informação</x:v>
      </x:c>
      <x:c r="P547" s="26"/>
      <x:c r="Q547" s="13"/>
      <x:c r="R547" s="13"/>
      <x:c r="S547" s="13"/>
      <x:c r="T547" s="13"/>
    </x:row>
    <x:row r="548">
      <x:c r="A548" s="13" t="str">
        <x:v>Luciano Juba</x:v>
      </x:c>
      <x:c r="B548" s="13" t="n">
        <x:v>2027</x:v>
      </x:c>
      <x:c r="C548" s="13" t="str">
        <x:v>T3</x:v>
      </x:c>
      <x:c r="D548" s="24" t="n">
        <x:v>46660</x:v>
      </x:c>
      <x:c r="E548" s="13" t="str">
        <x:v>Lateral-esquerdo</x:v>
      </x:c>
      <x:c r="F548" s="13" t="str">
        <x:v>Bahia</x:v>
      </x:c>
      <x:c r="G548" s="16"/>
      <x:c r="H548" s="16"/>
      <x:c r="I548" s="16"/>
      <x:c r="J548" s="16"/>
      <x:c r="K548" s="16" t="str">
        <x:f>IF(COUNT(G548,I548)=0,"",AVERAGE(G548,I548))</x:f>
      </x:c>
      <x:c r="L548" s="16" t="str">
        <x:f>IF(COUNT(H548,J548)=0,"",AVERAGE(H548,J548))</x:f>
      </x:c>
      <x:c r="M548" s="16" t="str">
        <x:f>IF(OR(K548="",L548=""),"",L548-K548)</x:f>
      </x:c>
      <x:c r="N548" s="16" t="str">
        <x:f>IF(AND(A548=A547,ISNUMBER(K548),ISNUMBER(K547)),K548-K547,"")</x:f>
      </x:c>
      <x:c r="O548" s="13" t="str">
        <x:v>Sem informação</x:v>
      </x:c>
      <x:c r="P548" s="26"/>
      <x:c r="Q548" s="13"/>
      <x:c r="R548" s="13"/>
      <x:c r="S548" s="13"/>
      <x:c r="T548" s="13"/>
    </x:row>
    <x:row r="549">
      <x:c r="A549" s="13" t="str">
        <x:v>Luciano Juba</x:v>
      </x:c>
      <x:c r="B549" s="13" t="n">
        <x:v>2027</x:v>
      </x:c>
      <x:c r="C549" s="13" t="str">
        <x:v>T4</x:v>
      </x:c>
      <x:c r="D549" s="24" t="n">
        <x:v>46752</x:v>
      </x:c>
      <x:c r="E549" s="13" t="str">
        <x:v>Lateral-esquerdo</x:v>
      </x:c>
      <x:c r="F549" s="13" t="str">
        <x:v>Bahia</x:v>
      </x:c>
      <x:c r="G549" s="16"/>
      <x:c r="H549" s="16"/>
      <x:c r="I549" s="16"/>
      <x:c r="J549" s="16"/>
      <x:c r="K549" s="16" t="str">
        <x:f>IF(COUNT(G549,I549)=0,"",AVERAGE(G549,I549))</x:f>
      </x:c>
      <x:c r="L549" s="16" t="str">
        <x:f>IF(COUNT(H549,J549)=0,"",AVERAGE(H549,J549))</x:f>
      </x:c>
      <x:c r="M549" s="16" t="str">
        <x:f>IF(OR(K549="",L549=""),"",L549-K549)</x:f>
      </x:c>
      <x:c r="N549" s="16" t="str">
        <x:f>IF(AND(A549=A548,ISNUMBER(K549),ISNUMBER(K548)),K549-K548,"")</x:f>
      </x:c>
      <x:c r="O549" s="13" t="str">
        <x:v>Sem informação</x:v>
      </x:c>
      <x:c r="P549" s="26"/>
      <x:c r="Q549" s="13"/>
      <x:c r="R549" s="13"/>
      <x:c r="S549" s="13"/>
      <x:c r="T549" s="13"/>
    </x:row>
    <x:row r="550">
      <x:c r="A550" s="13" t="str">
        <x:v>Luciano Juba</x:v>
      </x:c>
      <x:c r="B550" s="13" t="n">
        <x:v>2028</x:v>
      </x:c>
      <x:c r="C550" s="13" t="str">
        <x:v>T1</x:v>
      </x:c>
      <x:c r="D550" s="24" t="n">
        <x:v>46843</x:v>
      </x:c>
      <x:c r="E550" s="13" t="str">
        <x:v>Lateral-esquerdo</x:v>
      </x:c>
      <x:c r="F550" s="13" t="str">
        <x:v>Bahia</x:v>
      </x:c>
      <x:c r="G550" s="16"/>
      <x:c r="H550" s="16"/>
      <x:c r="I550" s="16"/>
      <x:c r="J550" s="16"/>
      <x:c r="K550" s="16" t="str">
        <x:f>IF(COUNT(G550,I550)=0,"",AVERAGE(G550,I550))</x:f>
      </x:c>
      <x:c r="L550" s="16" t="str">
        <x:f>IF(COUNT(H550,J550)=0,"",AVERAGE(H550,J550))</x:f>
      </x:c>
      <x:c r="M550" s="16" t="str">
        <x:f>IF(OR(K550="",L550=""),"",L550-K550)</x:f>
      </x:c>
      <x:c r="N550" s="16" t="str">
        <x:f>IF(AND(A550=A549,ISNUMBER(K550),ISNUMBER(K549)),K550-K549,"")</x:f>
      </x:c>
      <x:c r="O550" s="13" t="str">
        <x:v>Sem informação</x:v>
      </x:c>
      <x:c r="P550" s="26"/>
      <x:c r="Q550" s="13"/>
      <x:c r="R550" s="13"/>
      <x:c r="S550" s="13"/>
      <x:c r="T550" s="13"/>
    </x:row>
    <x:row r="551">
      <x:c r="A551" s="13" t="str">
        <x:v>Luciano Juba</x:v>
      </x:c>
      <x:c r="B551" s="13" t="n">
        <x:v>2028</x:v>
      </x:c>
      <x:c r="C551" s="13" t="str">
        <x:v>T2</x:v>
      </x:c>
      <x:c r="D551" s="24" t="n">
        <x:v>46934</x:v>
      </x:c>
      <x:c r="E551" s="13" t="str">
        <x:v>Lateral-esquerdo</x:v>
      </x:c>
      <x:c r="F551" s="13" t="str">
        <x:v>Bahia</x:v>
      </x:c>
      <x:c r="G551" s="16"/>
      <x:c r="H551" s="16"/>
      <x:c r="I551" s="16"/>
      <x:c r="J551" s="16"/>
      <x:c r="K551" s="16" t="str">
        <x:f>IF(COUNT(G551,I551)=0,"",AVERAGE(G551,I551))</x:f>
      </x:c>
      <x:c r="L551" s="16" t="str">
        <x:f>IF(COUNT(H551,J551)=0,"",AVERAGE(H551,J551))</x:f>
      </x:c>
      <x:c r="M551" s="16" t="str">
        <x:f>IF(OR(K551="",L551=""),"",L551-K551)</x:f>
      </x:c>
      <x:c r="N551" s="16" t="str">
        <x:f>IF(AND(A551=A550,ISNUMBER(K551),ISNUMBER(K550)),K551-K550,"")</x:f>
      </x:c>
      <x:c r="O551" s="13" t="str">
        <x:v>Sem informação</x:v>
      </x:c>
      <x:c r="P551" s="26"/>
      <x:c r="Q551" s="13"/>
      <x:c r="R551" s="13"/>
      <x:c r="S551" s="13"/>
      <x:c r="T551" s="13"/>
    </x:row>
    <x:row r="552">
      <x:c r="A552" s="13" t="str">
        <x:v>Luciano Juba</x:v>
      </x:c>
      <x:c r="B552" s="13" t="n">
        <x:v>2028</x:v>
      </x:c>
      <x:c r="C552" s="13" t="str">
        <x:v>T3</x:v>
      </x:c>
      <x:c r="D552" s="24" t="n">
        <x:v>47026</x:v>
      </x:c>
      <x:c r="E552" s="13" t="str">
        <x:v>Lateral-esquerdo</x:v>
      </x:c>
      <x:c r="F552" s="13" t="str">
        <x:v>Bahia</x:v>
      </x:c>
      <x:c r="G552" s="16"/>
      <x:c r="H552" s="16"/>
      <x:c r="I552" s="16"/>
      <x:c r="J552" s="16"/>
      <x:c r="K552" s="16" t="str">
        <x:f>IF(COUNT(G552,I552)=0,"",AVERAGE(G552,I552))</x:f>
      </x:c>
      <x:c r="L552" s="16" t="str">
        <x:f>IF(COUNT(H552,J552)=0,"",AVERAGE(H552,J552))</x:f>
      </x:c>
      <x:c r="M552" s="16" t="str">
        <x:f>IF(OR(K552="",L552=""),"",L552-K552)</x:f>
      </x:c>
      <x:c r="N552" s="16" t="str">
        <x:f>IF(AND(A552=A551,ISNUMBER(K552),ISNUMBER(K551)),K552-K551,"")</x:f>
      </x:c>
      <x:c r="O552" s="13" t="str">
        <x:v>Sem informação</x:v>
      </x:c>
      <x:c r="P552" s="26"/>
      <x:c r="Q552" s="13"/>
      <x:c r="R552" s="13"/>
      <x:c r="S552" s="13"/>
      <x:c r="T552" s="13"/>
    </x:row>
    <x:row r="553">
      <x:c r="A553" s="13" t="str">
        <x:v>Luciano Juba</x:v>
      </x:c>
      <x:c r="B553" s="13" t="n">
        <x:v>2028</x:v>
      </x:c>
      <x:c r="C553" s="13" t="str">
        <x:v>T4</x:v>
      </x:c>
      <x:c r="D553" s="24" t="n">
        <x:v>47118</x:v>
      </x:c>
      <x:c r="E553" s="13" t="str">
        <x:v>Lateral-esquerdo</x:v>
      </x:c>
      <x:c r="F553" s="13" t="str">
        <x:v>Bahia</x:v>
      </x:c>
      <x:c r="G553" s="16"/>
      <x:c r="H553" s="16"/>
      <x:c r="I553" s="16"/>
      <x:c r="J553" s="16"/>
      <x:c r="K553" s="16" t="str">
        <x:f>IF(COUNT(G553,I553)=0,"",AVERAGE(G553,I553))</x:f>
      </x:c>
      <x:c r="L553" s="16" t="str">
        <x:f>IF(COUNT(H553,J553)=0,"",AVERAGE(H553,J553))</x:f>
      </x:c>
      <x:c r="M553" s="16" t="str">
        <x:f>IF(OR(K553="",L553=""),"",L553-K553)</x:f>
      </x:c>
      <x:c r="N553" s="16" t="str">
        <x:f>IF(AND(A553=A552,ISNUMBER(K553),ISNUMBER(K552)),K553-K552,"")</x:f>
      </x:c>
      <x:c r="O553" s="13" t="str">
        <x:v>Sem informação</x:v>
      </x:c>
      <x:c r="P553" s="26"/>
      <x:c r="Q553" s="13"/>
      <x:c r="R553" s="13"/>
      <x:c r="S553" s="13"/>
      <x:c r="T553" s="13"/>
    </x:row>
    <x:row r="554">
      <x:c r="A554" s="13" t="str">
        <x:v>Luciano Juba</x:v>
      </x:c>
      <x:c r="B554" s="13" t="n">
        <x:v>2029</x:v>
      </x:c>
      <x:c r="C554" s="13" t="str">
        <x:v>T1</x:v>
      </x:c>
      <x:c r="D554" s="24" t="n">
        <x:v>47208</x:v>
      </x:c>
      <x:c r="E554" s="13" t="str">
        <x:v>Lateral-esquerdo</x:v>
      </x:c>
      <x:c r="F554" s="13" t="str">
        <x:v>Bahia</x:v>
      </x:c>
      <x:c r="G554" s="16"/>
      <x:c r="H554" s="16"/>
      <x:c r="I554" s="16"/>
      <x:c r="J554" s="16"/>
      <x:c r="K554" s="16" t="str">
        <x:f>IF(COUNT(G554,I554)=0,"",AVERAGE(G554,I554))</x:f>
      </x:c>
      <x:c r="L554" s="16" t="str">
        <x:f>IF(COUNT(H554,J554)=0,"",AVERAGE(H554,J554))</x:f>
      </x:c>
      <x:c r="M554" s="16" t="str">
        <x:f>IF(OR(K554="",L554=""),"",L554-K554)</x:f>
      </x:c>
      <x:c r="N554" s="16" t="str">
        <x:f>IF(AND(A554=A553,ISNUMBER(K554),ISNUMBER(K553)),K554-K553,"")</x:f>
      </x:c>
      <x:c r="O554" s="13" t="str">
        <x:v>Sem informação</x:v>
      </x:c>
      <x:c r="P554" s="26"/>
      <x:c r="Q554" s="13"/>
      <x:c r="R554" s="13"/>
      <x:c r="S554" s="13"/>
      <x:c r="T554" s="13"/>
    </x:row>
    <x:row r="555">
      <x:c r="A555" s="13" t="str">
        <x:v>Luciano Juba</x:v>
      </x:c>
      <x:c r="B555" s="13" t="n">
        <x:v>2029</x:v>
      </x:c>
      <x:c r="C555" s="13" t="str">
        <x:v>T2</x:v>
      </x:c>
      <x:c r="D555" s="24" t="n">
        <x:v>47299</x:v>
      </x:c>
      <x:c r="E555" s="13" t="str">
        <x:v>Lateral-esquerdo</x:v>
      </x:c>
      <x:c r="F555" s="13" t="str">
        <x:v>Bahia</x:v>
      </x:c>
      <x:c r="G555" s="16"/>
      <x:c r="H555" s="16"/>
      <x:c r="I555" s="16"/>
      <x:c r="J555" s="16"/>
      <x:c r="K555" s="16" t="str">
        <x:f>IF(COUNT(G555,I555)=0,"",AVERAGE(G555,I555))</x:f>
      </x:c>
      <x:c r="L555" s="16" t="str">
        <x:f>IF(COUNT(H555,J555)=0,"",AVERAGE(H555,J555))</x:f>
      </x:c>
      <x:c r="M555" s="16" t="str">
        <x:f>IF(OR(K555="",L555=""),"",L555-K555)</x:f>
      </x:c>
      <x:c r="N555" s="16" t="str">
        <x:f>IF(AND(A555=A554,ISNUMBER(K555),ISNUMBER(K554)),K555-K554,"")</x:f>
      </x:c>
      <x:c r="O555" s="13" t="str">
        <x:v>Sem informação</x:v>
      </x:c>
      <x:c r="P555" s="26"/>
      <x:c r="Q555" s="13"/>
      <x:c r="R555" s="13"/>
      <x:c r="S555" s="13"/>
      <x:c r="T555" s="13"/>
    </x:row>
    <x:row r="556">
      <x:c r="A556" s="13" t="str">
        <x:v>Luciano Juba</x:v>
      </x:c>
      <x:c r="B556" s="13" t="n">
        <x:v>2029</x:v>
      </x:c>
      <x:c r="C556" s="13" t="str">
        <x:v>T3</x:v>
      </x:c>
      <x:c r="D556" s="24" t="n">
        <x:v>47391</x:v>
      </x:c>
      <x:c r="E556" s="13" t="str">
        <x:v>Lateral-esquerdo</x:v>
      </x:c>
      <x:c r="F556" s="13" t="str">
        <x:v>Bahia</x:v>
      </x:c>
      <x:c r="G556" s="16"/>
      <x:c r="H556" s="16"/>
      <x:c r="I556" s="16"/>
      <x:c r="J556" s="16"/>
      <x:c r="K556" s="16" t="str">
        <x:f>IF(COUNT(G556,I556)=0,"",AVERAGE(G556,I556))</x:f>
      </x:c>
      <x:c r="L556" s="16" t="str">
        <x:f>IF(COUNT(H556,J556)=0,"",AVERAGE(H556,J556))</x:f>
      </x:c>
      <x:c r="M556" s="16" t="str">
        <x:f>IF(OR(K556="",L556=""),"",L556-K556)</x:f>
      </x:c>
      <x:c r="N556" s="16" t="str">
        <x:f>IF(AND(A556=A555,ISNUMBER(K556),ISNUMBER(K555)),K556-K555,"")</x:f>
      </x:c>
      <x:c r="O556" s="13" t="str">
        <x:v>Sem informação</x:v>
      </x:c>
      <x:c r="P556" s="26"/>
      <x:c r="Q556" s="13"/>
      <x:c r="R556" s="13"/>
      <x:c r="S556" s="13"/>
      <x:c r="T556" s="13"/>
    </x:row>
    <x:row r="557">
      <x:c r="A557" s="13" t="str">
        <x:v>Luciano Juba</x:v>
      </x:c>
      <x:c r="B557" s="13" t="n">
        <x:v>2029</x:v>
      </x:c>
      <x:c r="C557" s="13" t="str">
        <x:v>T4</x:v>
      </x:c>
      <x:c r="D557" s="24" t="n">
        <x:v>47483</x:v>
      </x:c>
      <x:c r="E557" s="13" t="str">
        <x:v>Lateral-esquerdo</x:v>
      </x:c>
      <x:c r="F557" s="13" t="str">
        <x:v>Bahia</x:v>
      </x:c>
      <x:c r="G557" s="16"/>
      <x:c r="H557" s="16"/>
      <x:c r="I557" s="16"/>
      <x:c r="J557" s="16"/>
      <x:c r="K557" s="16" t="str">
        <x:f>IF(COUNT(G557,I557)=0,"",AVERAGE(G557,I557))</x:f>
      </x:c>
      <x:c r="L557" s="16" t="str">
        <x:f>IF(COUNT(H557,J557)=0,"",AVERAGE(H557,J557))</x:f>
      </x:c>
      <x:c r="M557" s="16" t="str">
        <x:f>IF(OR(K557="",L557=""),"",L557-K557)</x:f>
      </x:c>
      <x:c r="N557" s="16" t="str">
        <x:f>IF(AND(A557=A556,ISNUMBER(K557),ISNUMBER(K556)),K557-K556,"")</x:f>
      </x:c>
      <x:c r="O557" s="13" t="str">
        <x:v>Sem informação</x:v>
      </x:c>
      <x:c r="P557" s="26"/>
      <x:c r="Q557" s="13"/>
      <x:c r="R557" s="13"/>
      <x:c r="S557" s="13"/>
      <x:c r="T557" s="13"/>
    </x:row>
    <x:row r="558">
      <x:c r="A558" s="13" t="str">
        <x:v>Luciano Juba</x:v>
      </x:c>
      <x:c r="B558" s="13" t="n">
        <x:v>2030</x:v>
      </x:c>
      <x:c r="C558" s="13" t="str">
        <x:v>T1</x:v>
      </x:c>
      <x:c r="D558" s="24" t="n">
        <x:v>47573</x:v>
      </x:c>
      <x:c r="E558" s="13" t="str">
        <x:v>Lateral-esquerdo</x:v>
      </x:c>
      <x:c r="F558" s="13" t="str">
        <x:v>Bahia</x:v>
      </x:c>
      <x:c r="G558" s="16"/>
      <x:c r="H558" s="16"/>
      <x:c r="I558" s="16"/>
      <x:c r="J558" s="16"/>
      <x:c r="K558" s="16" t="str">
        <x:f>IF(COUNT(G558,I558)=0,"",AVERAGE(G558,I558))</x:f>
      </x:c>
      <x:c r="L558" s="16" t="str">
        <x:f>IF(COUNT(H558,J558)=0,"",AVERAGE(H558,J558))</x:f>
      </x:c>
      <x:c r="M558" s="16" t="str">
        <x:f>IF(OR(K558="",L558=""),"",L558-K558)</x:f>
      </x:c>
      <x:c r="N558" s="16" t="str">
        <x:f>IF(AND(A558=A557,ISNUMBER(K558),ISNUMBER(K557)),K558-K557,"")</x:f>
      </x:c>
      <x:c r="O558" s="13" t="str">
        <x:v>Sem informação</x:v>
      </x:c>
      <x:c r="P558" s="26"/>
      <x:c r="Q558" s="13"/>
      <x:c r="R558" s="13"/>
      <x:c r="S558" s="13"/>
      <x:c r="T558" s="13"/>
    </x:row>
    <x:row r="559">
      <x:c r="A559" s="13" t="str">
        <x:v>Luciano Juba</x:v>
      </x:c>
      <x:c r="B559" s="13" t="n">
        <x:v>2030</x:v>
      </x:c>
      <x:c r="C559" s="13" t="str">
        <x:v>T2</x:v>
      </x:c>
      <x:c r="D559" s="24" t="n">
        <x:v>47664</x:v>
      </x:c>
      <x:c r="E559" s="13" t="str">
        <x:v>Lateral-esquerdo</x:v>
      </x:c>
      <x:c r="F559" s="13" t="str">
        <x:v>Bahia</x:v>
      </x:c>
      <x:c r="G559" s="16"/>
      <x:c r="H559" s="16"/>
      <x:c r="I559" s="16"/>
      <x:c r="J559" s="16"/>
      <x:c r="K559" s="16" t="str">
        <x:f>IF(COUNT(G559,I559)=0,"",AVERAGE(G559,I559))</x:f>
      </x:c>
      <x:c r="L559" s="16" t="str">
        <x:f>IF(COUNT(H559,J559)=0,"",AVERAGE(H559,J559))</x:f>
      </x:c>
      <x:c r="M559" s="16" t="str">
        <x:f>IF(OR(K559="",L559=""),"",L559-K559)</x:f>
      </x:c>
      <x:c r="N559" s="16" t="str">
        <x:f>IF(AND(A559=A558,ISNUMBER(K559),ISNUMBER(K558)),K559-K558,"")</x:f>
      </x:c>
      <x:c r="O559" s="13" t="str">
        <x:v>Sem informação</x:v>
      </x:c>
      <x:c r="P559" s="26"/>
      <x:c r="Q559" s="13"/>
      <x:c r="R559" s="13"/>
      <x:c r="S559" s="13"/>
      <x:c r="T559" s="13"/>
    </x:row>
    <x:row r="560">
      <x:c r="A560" s="13" t="str">
        <x:v>Luciano Juba</x:v>
      </x:c>
      <x:c r="B560" s="13" t="n">
        <x:v>2030</x:v>
      </x:c>
      <x:c r="C560" s="13" t="str">
        <x:v>T3</x:v>
      </x:c>
      <x:c r="D560" s="24" t="n">
        <x:v>47756</x:v>
      </x:c>
      <x:c r="E560" s="13" t="str">
        <x:v>Lateral-esquerdo</x:v>
      </x:c>
      <x:c r="F560" s="13" t="str">
        <x:v>Bahia</x:v>
      </x:c>
      <x:c r="G560" s="16"/>
      <x:c r="H560" s="16"/>
      <x:c r="I560" s="16"/>
      <x:c r="J560" s="16"/>
      <x:c r="K560" s="16" t="str">
        <x:f>IF(COUNT(G560,I560)=0,"",AVERAGE(G560,I560))</x:f>
      </x:c>
      <x:c r="L560" s="16" t="str">
        <x:f>IF(COUNT(H560,J560)=0,"",AVERAGE(H560,J560))</x:f>
      </x:c>
      <x:c r="M560" s="16" t="str">
        <x:f>IF(OR(K560="",L560=""),"",L560-K560)</x:f>
      </x:c>
      <x:c r="N560" s="16" t="str">
        <x:f>IF(AND(A560=A559,ISNUMBER(K560),ISNUMBER(K559)),K560-K559,"")</x:f>
      </x:c>
      <x:c r="O560" s="13" t="str">
        <x:v>Sem informação</x:v>
      </x:c>
      <x:c r="P560" s="26"/>
      <x:c r="Q560" s="13"/>
      <x:c r="R560" s="13"/>
      <x:c r="S560" s="13"/>
      <x:c r="T560" s="13"/>
    </x:row>
    <x:row r="561">
      <x:c r="A561" s="13" t="str">
        <x:v>Luciano Juba</x:v>
      </x:c>
      <x:c r="B561" s="13" t="n">
        <x:v>2030</x:v>
      </x:c>
      <x:c r="C561" s="13" t="str">
        <x:v>T4</x:v>
      </x:c>
      <x:c r="D561" s="24" t="n">
        <x:v>47848</x:v>
      </x:c>
      <x:c r="E561" s="13" t="str">
        <x:v>Lateral-esquerdo</x:v>
      </x:c>
      <x:c r="F561" s="13" t="str">
        <x:v>Bahia</x:v>
      </x:c>
      <x:c r="G561" s="16"/>
      <x:c r="H561" s="16"/>
      <x:c r="I561" s="16"/>
      <x:c r="J561" s="16"/>
      <x:c r="K561" s="16" t="str">
        <x:f>IF(COUNT(G561,I561)=0,"",AVERAGE(G561,I561))</x:f>
      </x:c>
      <x:c r="L561" s="16" t="str">
        <x:f>IF(COUNT(H561,J561)=0,"",AVERAGE(H561,J561))</x:f>
      </x:c>
      <x:c r="M561" s="16" t="str">
        <x:f>IF(OR(K561="",L561=""),"",L561-K561)</x:f>
      </x:c>
      <x:c r="N561" s="16" t="str">
        <x:f>IF(AND(A561=A560,ISNUMBER(K561),ISNUMBER(K560)),K561-K560,"")</x:f>
      </x:c>
      <x:c r="O561" s="13" t="str">
        <x:v>Sem informação</x:v>
      </x:c>
      <x:c r="P561" s="26"/>
      <x:c r="Q561" s="13"/>
      <x:c r="R561" s="13"/>
      <x:c r="S561" s="13"/>
      <x:c r="T561" s="13"/>
    </x:row>
    <x:row r="562">
      <x:c r="A562" s="13" t="str">
        <x:v>Luis Felipe</x:v>
      </x:c>
      <x:c r="B562" s="13" t="n">
        <x:v>2026</x:v>
      </x:c>
      <x:c r="C562" s="13" t="str">
        <x:v>T1</x:v>
      </x:c>
      <x:c r="D562" s="24" t="n">
        <x:v>46112</x:v>
      </x:c>
      <x:c r="E562" s="13" t="str">
        <x:v>Volante</x:v>
      </x:c>
      <x:c r="F562" s="13" t="str">
        <x:v>SE Palmeiras Sub-20</x:v>
      </x:c>
      <x:c r="G562" s="16"/>
      <x:c r="H562" s="16"/>
      <x:c r="I562" s="16"/>
      <x:c r="J562" s="16"/>
      <x:c r="K562" s="16" t="str">
        <x:f>IF(COUNT(G562,I562)=0,"",AVERAGE(G562,I562))</x:f>
      </x:c>
      <x:c r="L562" s="16" t="str">
        <x:f>IF(COUNT(H562,J562)=0,"",AVERAGE(H562,J562))</x:f>
      </x:c>
      <x:c r="M562" s="16" t="str">
        <x:f>IF(OR(K562="",L562=""),"",L562-K562)</x:f>
      </x:c>
      <x:c r="N562" s="16" t="str">
        <x:f>IF(AND(A562=A561,ISNUMBER(K562),ISNUMBER(K561)),K562-K561,"")</x:f>
      </x:c>
      <x:c r="O562" s="13" t="str">
        <x:v>Sem informação</x:v>
      </x:c>
      <x:c r="P562" s="26"/>
      <x:c r="Q562" s="13"/>
      <x:c r="R562" s="13"/>
      <x:c r="S562" s="13"/>
      <x:c r="T562" s="13"/>
    </x:row>
    <x:row r="563">
      <x:c r="A563" s="13" t="str">
        <x:v>Luis Felipe</x:v>
      </x:c>
      <x:c r="B563" s="13" t="n">
        <x:v>2026</x:v>
      </x:c>
      <x:c r="C563" s="13" t="str">
        <x:v>T2</x:v>
      </x:c>
      <x:c r="D563" s="24" t="n">
        <x:v>46203</x:v>
      </x:c>
      <x:c r="E563" s="13" t="str">
        <x:v>Volante</x:v>
      </x:c>
      <x:c r="F563" s="13" t="str">
        <x:v>SE Palmeiras Sub-20</x:v>
      </x:c>
      <x:c r="G563" s="16"/>
      <x:c r="H563" s="16"/>
      <x:c r="I563" s="16"/>
      <x:c r="J563" s="16"/>
      <x:c r="K563" s="16" t="str">
        <x:f>IF(COUNT(G563,I563)=0,"",AVERAGE(G563,I563))</x:f>
      </x:c>
      <x:c r="L563" s="16" t="str">
        <x:f>IF(COUNT(H563,J563)=0,"",AVERAGE(H563,J563))</x:f>
      </x:c>
      <x:c r="M563" s="16" t="str">
        <x:f>IF(OR(K563="",L563=""),"",L563-K563)</x:f>
      </x:c>
      <x:c r="N563" s="16" t="str">
        <x:f>IF(AND(A563=A562,ISNUMBER(K563),ISNUMBER(K562)),K563-K562,"")</x:f>
      </x:c>
      <x:c r="O563" s="13" t="str">
        <x:v>Sem informação</x:v>
      </x:c>
      <x:c r="P563" s="26"/>
      <x:c r="Q563" s="13"/>
      <x:c r="R563" s="13"/>
      <x:c r="S563" s="13"/>
      <x:c r="T563" s="13"/>
    </x:row>
    <x:row r="564">
      <x:c r="A564" s="13" t="str">
        <x:v>Luis Felipe</x:v>
      </x:c>
      <x:c r="B564" s="13" t="n">
        <x:v>2026</x:v>
      </x:c>
      <x:c r="C564" s="13" t="str">
        <x:v>T3</x:v>
      </x:c>
      <x:c r="D564" s="24" t="n">
        <x:v>46295</x:v>
      </x:c>
      <x:c r="E564" s="13" t="str">
        <x:v>Volante</x:v>
      </x:c>
      <x:c r="F564" s="13" t="str">
        <x:v>SE Palmeiras Sub-20</x:v>
      </x:c>
      <x:c r="G564" s="16"/>
      <x:c r="H564" s="16"/>
      <x:c r="I564" s="16"/>
      <x:c r="J564" s="16"/>
      <x:c r="K564" s="16" t="str">
        <x:f>IF(COUNT(G564,I564)=0,"",AVERAGE(G564,I564))</x:f>
      </x:c>
      <x:c r="L564" s="16" t="str">
        <x:f>IF(COUNT(H564,J564)=0,"",AVERAGE(H564,J564))</x:f>
      </x:c>
      <x:c r="M564" s="16" t="str">
        <x:f>IF(OR(K564="",L564=""),"",L564-K564)</x:f>
      </x:c>
      <x:c r="N564" s="16" t="str">
        <x:f>IF(AND(A564=A563,ISNUMBER(K564),ISNUMBER(K563)),K564-K563,"")</x:f>
      </x:c>
      <x:c r="O564" s="13" t="str">
        <x:v>Sem informação</x:v>
      </x:c>
      <x:c r="P564" s="26"/>
      <x:c r="Q564" s="13"/>
      <x:c r="R564" s="13"/>
      <x:c r="S564" s="13"/>
      <x:c r="T564" s="13"/>
    </x:row>
    <x:row r="565">
      <x:c r="A565" s="13" t="str">
        <x:v>Luis Felipe</x:v>
      </x:c>
      <x:c r="B565" s="13" t="n">
        <x:v>2026</x:v>
      </x:c>
      <x:c r="C565" s="13" t="str">
        <x:v>T4</x:v>
      </x:c>
      <x:c r="D565" s="24" t="n">
        <x:v>46387</x:v>
      </x:c>
      <x:c r="E565" s="13" t="str">
        <x:v>Volante</x:v>
      </x:c>
      <x:c r="F565" s="13" t="str">
        <x:v>SE Palmeiras Sub-20</x:v>
      </x:c>
      <x:c r="G565" s="16"/>
      <x:c r="H565" s="16"/>
      <x:c r="I565" s="16"/>
      <x:c r="J565" s="16"/>
      <x:c r="K565" s="16" t="str">
        <x:f>IF(COUNT(G565,I565)=0,"",AVERAGE(G565,I565))</x:f>
      </x:c>
      <x:c r="L565" s="16" t="str">
        <x:f>IF(COUNT(H565,J565)=0,"",AVERAGE(H565,J565))</x:f>
      </x:c>
      <x:c r="M565" s="16" t="str">
        <x:f>IF(OR(K565="",L565=""),"",L565-K565)</x:f>
      </x:c>
      <x:c r="N565" s="16" t="str">
        <x:f>IF(AND(A565=A564,ISNUMBER(K565),ISNUMBER(K564)),K565-K564,"")</x:f>
      </x:c>
      <x:c r="O565" s="13" t="str">
        <x:v>Sem informação</x:v>
      </x:c>
      <x:c r="P565" s="26"/>
      <x:c r="Q565" s="13"/>
      <x:c r="R565" s="13"/>
      <x:c r="S565" s="13"/>
      <x:c r="T565" s="13"/>
    </x:row>
    <x:row r="566">
      <x:c r="A566" s="13" t="str">
        <x:v>Luis Felipe</x:v>
      </x:c>
      <x:c r="B566" s="13" t="n">
        <x:v>2027</x:v>
      </x:c>
      <x:c r="C566" s="13" t="str">
        <x:v>T1</x:v>
      </x:c>
      <x:c r="D566" s="24" t="n">
        <x:v>46477</x:v>
      </x:c>
      <x:c r="E566" s="13" t="str">
        <x:v>Volante</x:v>
      </x:c>
      <x:c r="F566" s="13" t="str">
        <x:v>SE Palmeiras Sub-20</x:v>
      </x:c>
      <x:c r="G566" s="16"/>
      <x:c r="H566" s="16"/>
      <x:c r="I566" s="16"/>
      <x:c r="J566" s="16"/>
      <x:c r="K566" s="16" t="str">
        <x:f>IF(COUNT(G566,I566)=0,"",AVERAGE(G566,I566))</x:f>
      </x:c>
      <x:c r="L566" s="16" t="str">
        <x:f>IF(COUNT(H566,J566)=0,"",AVERAGE(H566,J566))</x:f>
      </x:c>
      <x:c r="M566" s="16" t="str">
        <x:f>IF(OR(K566="",L566=""),"",L566-K566)</x:f>
      </x:c>
      <x:c r="N566" s="16" t="str">
        <x:f>IF(AND(A566=A565,ISNUMBER(K566),ISNUMBER(K565)),K566-K565,"")</x:f>
      </x:c>
      <x:c r="O566" s="13" t="str">
        <x:v>Sem informação</x:v>
      </x:c>
      <x:c r="P566" s="26"/>
      <x:c r="Q566" s="13"/>
      <x:c r="R566" s="13"/>
      <x:c r="S566" s="13"/>
      <x:c r="T566" s="13"/>
    </x:row>
    <x:row r="567">
      <x:c r="A567" s="13" t="str">
        <x:v>Luis Felipe</x:v>
      </x:c>
      <x:c r="B567" s="13" t="n">
        <x:v>2027</x:v>
      </x:c>
      <x:c r="C567" s="13" t="str">
        <x:v>T2</x:v>
      </x:c>
      <x:c r="D567" s="24" t="n">
        <x:v>46568</x:v>
      </x:c>
      <x:c r="E567" s="13" t="str">
        <x:v>Volante</x:v>
      </x:c>
      <x:c r="F567" s="13" t="str">
        <x:v>SE Palmeiras Sub-20</x:v>
      </x:c>
      <x:c r="G567" s="16"/>
      <x:c r="H567" s="16"/>
      <x:c r="I567" s="16"/>
      <x:c r="J567" s="16"/>
      <x:c r="K567" s="16" t="str">
        <x:f>IF(COUNT(G567,I567)=0,"",AVERAGE(G567,I567))</x:f>
      </x:c>
      <x:c r="L567" s="16" t="str">
        <x:f>IF(COUNT(H567,J567)=0,"",AVERAGE(H567,J567))</x:f>
      </x:c>
      <x:c r="M567" s="16" t="str">
        <x:f>IF(OR(K567="",L567=""),"",L567-K567)</x:f>
      </x:c>
      <x:c r="N567" s="16" t="str">
        <x:f>IF(AND(A567=A566,ISNUMBER(K567),ISNUMBER(K566)),K567-K566,"")</x:f>
      </x:c>
      <x:c r="O567" s="13" t="str">
        <x:v>Sem informação</x:v>
      </x:c>
      <x:c r="P567" s="26"/>
      <x:c r="Q567" s="13"/>
      <x:c r="R567" s="13"/>
      <x:c r="S567" s="13"/>
      <x:c r="T567" s="13"/>
    </x:row>
    <x:row r="568">
      <x:c r="A568" s="13" t="str">
        <x:v>Luis Felipe</x:v>
      </x:c>
      <x:c r="B568" s="13" t="n">
        <x:v>2027</x:v>
      </x:c>
      <x:c r="C568" s="13" t="str">
        <x:v>T3</x:v>
      </x:c>
      <x:c r="D568" s="24" t="n">
        <x:v>46660</x:v>
      </x:c>
      <x:c r="E568" s="13" t="str">
        <x:v>Volante</x:v>
      </x:c>
      <x:c r="F568" s="13" t="str">
        <x:v>SE Palmeiras Sub-20</x:v>
      </x:c>
      <x:c r="G568" s="16"/>
      <x:c r="H568" s="16"/>
      <x:c r="I568" s="16"/>
      <x:c r="J568" s="16"/>
      <x:c r="K568" s="16" t="str">
        <x:f>IF(COUNT(G568,I568)=0,"",AVERAGE(G568,I568))</x:f>
      </x:c>
      <x:c r="L568" s="16" t="str">
        <x:f>IF(COUNT(H568,J568)=0,"",AVERAGE(H568,J568))</x:f>
      </x:c>
      <x:c r="M568" s="16" t="str">
        <x:f>IF(OR(K568="",L568=""),"",L568-K568)</x:f>
      </x:c>
      <x:c r="N568" s="16" t="str">
        <x:f>IF(AND(A568=A567,ISNUMBER(K568),ISNUMBER(K567)),K568-K567,"")</x:f>
      </x:c>
      <x:c r="O568" s="13" t="str">
        <x:v>Sem informação</x:v>
      </x:c>
      <x:c r="P568" s="26"/>
      <x:c r="Q568" s="13"/>
      <x:c r="R568" s="13"/>
      <x:c r="S568" s="13"/>
      <x:c r="T568" s="13"/>
    </x:row>
    <x:row r="569">
      <x:c r="A569" s="13" t="str">
        <x:v>Luis Felipe</x:v>
      </x:c>
      <x:c r="B569" s="13" t="n">
        <x:v>2027</x:v>
      </x:c>
      <x:c r="C569" s="13" t="str">
        <x:v>T4</x:v>
      </x:c>
      <x:c r="D569" s="24" t="n">
        <x:v>46752</x:v>
      </x:c>
      <x:c r="E569" s="13" t="str">
        <x:v>Volante</x:v>
      </x:c>
      <x:c r="F569" s="13" t="str">
        <x:v>SE Palmeiras Sub-20</x:v>
      </x:c>
      <x:c r="G569" s="16"/>
      <x:c r="H569" s="16"/>
      <x:c r="I569" s="16"/>
      <x:c r="J569" s="16"/>
      <x:c r="K569" s="16" t="str">
        <x:f>IF(COUNT(G569,I569)=0,"",AVERAGE(G569,I569))</x:f>
      </x:c>
      <x:c r="L569" s="16" t="str">
        <x:f>IF(COUNT(H569,J569)=0,"",AVERAGE(H569,J569))</x:f>
      </x:c>
      <x:c r="M569" s="16" t="str">
        <x:f>IF(OR(K569="",L569=""),"",L569-K569)</x:f>
      </x:c>
      <x:c r="N569" s="16" t="str">
        <x:f>IF(AND(A569=A568,ISNUMBER(K569),ISNUMBER(K568)),K569-K568,"")</x:f>
      </x:c>
      <x:c r="O569" s="13" t="str">
        <x:v>Sem informação</x:v>
      </x:c>
      <x:c r="P569" s="26"/>
      <x:c r="Q569" s="13"/>
      <x:c r="R569" s="13"/>
      <x:c r="S569" s="13"/>
      <x:c r="T569" s="13"/>
    </x:row>
    <x:row r="570">
      <x:c r="A570" s="13" t="str">
        <x:v>Luis Felipe</x:v>
      </x:c>
      <x:c r="B570" s="13" t="n">
        <x:v>2028</x:v>
      </x:c>
      <x:c r="C570" s="13" t="str">
        <x:v>T1</x:v>
      </x:c>
      <x:c r="D570" s="24" t="n">
        <x:v>46843</x:v>
      </x:c>
      <x:c r="E570" s="13" t="str">
        <x:v>Volante</x:v>
      </x:c>
      <x:c r="F570" s="13" t="str">
        <x:v>SE Palmeiras Sub-20</x:v>
      </x:c>
      <x:c r="G570" s="16"/>
      <x:c r="H570" s="16"/>
      <x:c r="I570" s="16"/>
      <x:c r="J570" s="16"/>
      <x:c r="K570" s="16" t="str">
        <x:f>IF(COUNT(G570,I570)=0,"",AVERAGE(G570,I570))</x:f>
      </x:c>
      <x:c r="L570" s="16" t="str">
        <x:f>IF(COUNT(H570,J570)=0,"",AVERAGE(H570,J570))</x:f>
      </x:c>
      <x:c r="M570" s="16" t="str">
        <x:f>IF(OR(K570="",L570=""),"",L570-K570)</x:f>
      </x:c>
      <x:c r="N570" s="16" t="str">
        <x:f>IF(AND(A570=A569,ISNUMBER(K570),ISNUMBER(K569)),K570-K569,"")</x:f>
      </x:c>
      <x:c r="O570" s="13" t="str">
        <x:v>Sem informação</x:v>
      </x:c>
      <x:c r="P570" s="26"/>
      <x:c r="Q570" s="13"/>
      <x:c r="R570" s="13"/>
      <x:c r="S570" s="13"/>
      <x:c r="T570" s="13"/>
    </x:row>
    <x:row r="571">
      <x:c r="A571" s="13" t="str">
        <x:v>Luis Felipe</x:v>
      </x:c>
      <x:c r="B571" s="13" t="n">
        <x:v>2028</x:v>
      </x:c>
      <x:c r="C571" s="13" t="str">
        <x:v>T2</x:v>
      </x:c>
      <x:c r="D571" s="24" t="n">
        <x:v>46934</x:v>
      </x:c>
      <x:c r="E571" s="13" t="str">
        <x:v>Volante</x:v>
      </x:c>
      <x:c r="F571" s="13" t="str">
        <x:v>SE Palmeiras Sub-20</x:v>
      </x:c>
      <x:c r="G571" s="16"/>
      <x:c r="H571" s="16"/>
      <x:c r="I571" s="16"/>
      <x:c r="J571" s="16"/>
      <x:c r="K571" s="16" t="str">
        <x:f>IF(COUNT(G571,I571)=0,"",AVERAGE(G571,I571))</x:f>
      </x:c>
      <x:c r="L571" s="16" t="str">
        <x:f>IF(COUNT(H571,J571)=0,"",AVERAGE(H571,J571))</x:f>
      </x:c>
      <x:c r="M571" s="16" t="str">
        <x:f>IF(OR(K571="",L571=""),"",L571-K571)</x:f>
      </x:c>
      <x:c r="N571" s="16" t="str">
        <x:f>IF(AND(A571=A570,ISNUMBER(K571),ISNUMBER(K570)),K571-K570,"")</x:f>
      </x:c>
      <x:c r="O571" s="13" t="str">
        <x:v>Sem informação</x:v>
      </x:c>
      <x:c r="P571" s="26"/>
      <x:c r="Q571" s="13"/>
      <x:c r="R571" s="13"/>
      <x:c r="S571" s="13"/>
      <x:c r="T571" s="13"/>
    </x:row>
    <x:row r="572">
      <x:c r="A572" s="13" t="str">
        <x:v>Luis Felipe</x:v>
      </x:c>
      <x:c r="B572" s="13" t="n">
        <x:v>2028</x:v>
      </x:c>
      <x:c r="C572" s="13" t="str">
        <x:v>T3</x:v>
      </x:c>
      <x:c r="D572" s="24" t="n">
        <x:v>47026</x:v>
      </x:c>
      <x:c r="E572" s="13" t="str">
        <x:v>Volante</x:v>
      </x:c>
      <x:c r="F572" s="13" t="str">
        <x:v>SE Palmeiras Sub-20</x:v>
      </x:c>
      <x:c r="G572" s="16"/>
      <x:c r="H572" s="16"/>
      <x:c r="I572" s="16"/>
      <x:c r="J572" s="16"/>
      <x:c r="K572" s="16" t="str">
        <x:f>IF(COUNT(G572,I572)=0,"",AVERAGE(G572,I572))</x:f>
      </x:c>
      <x:c r="L572" s="16" t="str">
        <x:f>IF(COUNT(H572,J572)=0,"",AVERAGE(H572,J572))</x:f>
      </x:c>
      <x:c r="M572" s="16" t="str">
        <x:f>IF(OR(K572="",L572=""),"",L572-K572)</x:f>
      </x:c>
      <x:c r="N572" s="16" t="str">
        <x:f>IF(AND(A572=A571,ISNUMBER(K572),ISNUMBER(K571)),K572-K571,"")</x:f>
      </x:c>
      <x:c r="O572" s="13" t="str">
        <x:v>Sem informação</x:v>
      </x:c>
      <x:c r="P572" s="26"/>
      <x:c r="Q572" s="13"/>
      <x:c r="R572" s="13"/>
      <x:c r="S572" s="13"/>
      <x:c r="T572" s="13"/>
    </x:row>
    <x:row r="573">
      <x:c r="A573" s="13" t="str">
        <x:v>Luis Felipe</x:v>
      </x:c>
      <x:c r="B573" s="13" t="n">
        <x:v>2028</x:v>
      </x:c>
      <x:c r="C573" s="13" t="str">
        <x:v>T4</x:v>
      </x:c>
      <x:c r="D573" s="24" t="n">
        <x:v>47118</x:v>
      </x:c>
      <x:c r="E573" s="13" t="str">
        <x:v>Volante</x:v>
      </x:c>
      <x:c r="F573" s="13" t="str">
        <x:v>SE Palmeiras Sub-20</x:v>
      </x:c>
      <x:c r="G573" s="16"/>
      <x:c r="H573" s="16"/>
      <x:c r="I573" s="16"/>
      <x:c r="J573" s="16"/>
      <x:c r="K573" s="16" t="str">
        <x:f>IF(COUNT(G573,I573)=0,"",AVERAGE(G573,I573))</x:f>
      </x:c>
      <x:c r="L573" s="16" t="str">
        <x:f>IF(COUNT(H573,J573)=0,"",AVERAGE(H573,J573))</x:f>
      </x:c>
      <x:c r="M573" s="16" t="str">
        <x:f>IF(OR(K573="",L573=""),"",L573-K573)</x:f>
      </x:c>
      <x:c r="N573" s="16" t="str">
        <x:f>IF(AND(A573=A572,ISNUMBER(K573),ISNUMBER(K572)),K573-K572,"")</x:f>
      </x:c>
      <x:c r="O573" s="13" t="str">
        <x:v>Sem informação</x:v>
      </x:c>
      <x:c r="P573" s="26"/>
      <x:c r="Q573" s="13"/>
      <x:c r="R573" s="13"/>
      <x:c r="S573" s="13"/>
      <x:c r="T573" s="13"/>
    </x:row>
    <x:row r="574">
      <x:c r="A574" s="13" t="str">
        <x:v>Luis Felipe</x:v>
      </x:c>
      <x:c r="B574" s="13" t="n">
        <x:v>2029</x:v>
      </x:c>
      <x:c r="C574" s="13" t="str">
        <x:v>T1</x:v>
      </x:c>
      <x:c r="D574" s="24" t="n">
        <x:v>47208</x:v>
      </x:c>
      <x:c r="E574" s="13" t="str">
        <x:v>Volante</x:v>
      </x:c>
      <x:c r="F574" s="13" t="str">
        <x:v>SE Palmeiras Sub-20</x:v>
      </x:c>
      <x:c r="G574" s="16"/>
      <x:c r="H574" s="16"/>
      <x:c r="I574" s="16"/>
      <x:c r="J574" s="16"/>
      <x:c r="K574" s="16" t="str">
        <x:f>IF(COUNT(G574,I574)=0,"",AVERAGE(G574,I574))</x:f>
      </x:c>
      <x:c r="L574" s="16" t="str">
        <x:f>IF(COUNT(H574,J574)=0,"",AVERAGE(H574,J574))</x:f>
      </x:c>
      <x:c r="M574" s="16" t="str">
        <x:f>IF(OR(K574="",L574=""),"",L574-K574)</x:f>
      </x:c>
      <x:c r="N574" s="16" t="str">
        <x:f>IF(AND(A574=A573,ISNUMBER(K574),ISNUMBER(K573)),K574-K573,"")</x:f>
      </x:c>
      <x:c r="O574" s="13" t="str">
        <x:v>Sem informação</x:v>
      </x:c>
      <x:c r="P574" s="26"/>
      <x:c r="Q574" s="13"/>
      <x:c r="R574" s="13"/>
      <x:c r="S574" s="13"/>
      <x:c r="T574" s="13"/>
    </x:row>
    <x:row r="575">
      <x:c r="A575" s="13" t="str">
        <x:v>Luis Felipe</x:v>
      </x:c>
      <x:c r="B575" s="13" t="n">
        <x:v>2029</x:v>
      </x:c>
      <x:c r="C575" s="13" t="str">
        <x:v>T2</x:v>
      </x:c>
      <x:c r="D575" s="24" t="n">
        <x:v>47299</x:v>
      </x:c>
      <x:c r="E575" s="13" t="str">
        <x:v>Volante</x:v>
      </x:c>
      <x:c r="F575" s="13" t="str">
        <x:v>SE Palmeiras Sub-20</x:v>
      </x:c>
      <x:c r="G575" s="16"/>
      <x:c r="H575" s="16"/>
      <x:c r="I575" s="16"/>
      <x:c r="J575" s="16"/>
      <x:c r="K575" s="16" t="str">
        <x:f>IF(COUNT(G575,I575)=0,"",AVERAGE(G575,I575))</x:f>
      </x:c>
      <x:c r="L575" s="16" t="str">
        <x:f>IF(COUNT(H575,J575)=0,"",AVERAGE(H575,J575))</x:f>
      </x:c>
      <x:c r="M575" s="16" t="str">
        <x:f>IF(OR(K575="",L575=""),"",L575-K575)</x:f>
      </x:c>
      <x:c r="N575" s="16" t="str">
        <x:f>IF(AND(A575=A574,ISNUMBER(K575),ISNUMBER(K574)),K575-K574,"")</x:f>
      </x:c>
      <x:c r="O575" s="13" t="str">
        <x:v>Sem informação</x:v>
      </x:c>
      <x:c r="P575" s="26"/>
      <x:c r="Q575" s="13"/>
      <x:c r="R575" s="13"/>
      <x:c r="S575" s="13"/>
      <x:c r="T575" s="13"/>
    </x:row>
    <x:row r="576">
      <x:c r="A576" s="13" t="str">
        <x:v>Luis Felipe</x:v>
      </x:c>
      <x:c r="B576" s="13" t="n">
        <x:v>2029</x:v>
      </x:c>
      <x:c r="C576" s="13" t="str">
        <x:v>T3</x:v>
      </x:c>
      <x:c r="D576" s="24" t="n">
        <x:v>47391</x:v>
      </x:c>
      <x:c r="E576" s="13" t="str">
        <x:v>Volante</x:v>
      </x:c>
      <x:c r="F576" s="13" t="str">
        <x:v>SE Palmeiras Sub-20</x:v>
      </x:c>
      <x:c r="G576" s="16"/>
      <x:c r="H576" s="16"/>
      <x:c r="I576" s="16"/>
      <x:c r="J576" s="16"/>
      <x:c r="K576" s="16" t="str">
        <x:f>IF(COUNT(G576,I576)=0,"",AVERAGE(G576,I576))</x:f>
      </x:c>
      <x:c r="L576" s="16" t="str">
        <x:f>IF(COUNT(H576,J576)=0,"",AVERAGE(H576,J576))</x:f>
      </x:c>
      <x:c r="M576" s="16" t="str">
        <x:f>IF(OR(K576="",L576=""),"",L576-K576)</x:f>
      </x:c>
      <x:c r="N576" s="16" t="str">
        <x:f>IF(AND(A576=A575,ISNUMBER(K576),ISNUMBER(K575)),K576-K575,"")</x:f>
      </x:c>
      <x:c r="O576" s="13" t="str">
        <x:v>Sem informação</x:v>
      </x:c>
      <x:c r="P576" s="26"/>
      <x:c r="Q576" s="13"/>
      <x:c r="R576" s="13"/>
      <x:c r="S576" s="13"/>
      <x:c r="T576" s="13"/>
    </x:row>
    <x:row r="577">
      <x:c r="A577" s="13" t="str">
        <x:v>Luis Felipe</x:v>
      </x:c>
      <x:c r="B577" s="13" t="n">
        <x:v>2029</x:v>
      </x:c>
      <x:c r="C577" s="13" t="str">
        <x:v>T4</x:v>
      </x:c>
      <x:c r="D577" s="24" t="n">
        <x:v>47483</x:v>
      </x:c>
      <x:c r="E577" s="13" t="str">
        <x:v>Volante</x:v>
      </x:c>
      <x:c r="F577" s="13" t="str">
        <x:v>SE Palmeiras Sub-20</x:v>
      </x:c>
      <x:c r="G577" s="16"/>
      <x:c r="H577" s="16"/>
      <x:c r="I577" s="16"/>
      <x:c r="J577" s="16"/>
      <x:c r="K577" s="16" t="str">
        <x:f>IF(COUNT(G577,I577)=0,"",AVERAGE(G577,I577))</x:f>
      </x:c>
      <x:c r="L577" s="16" t="str">
        <x:f>IF(COUNT(H577,J577)=0,"",AVERAGE(H577,J577))</x:f>
      </x:c>
      <x:c r="M577" s="16" t="str">
        <x:f>IF(OR(K577="",L577=""),"",L577-K577)</x:f>
      </x:c>
      <x:c r="N577" s="16" t="str">
        <x:f>IF(AND(A577=A576,ISNUMBER(K577),ISNUMBER(K576)),K577-K576,"")</x:f>
      </x:c>
      <x:c r="O577" s="13" t="str">
        <x:v>Sem informação</x:v>
      </x:c>
      <x:c r="P577" s="26"/>
      <x:c r="Q577" s="13"/>
      <x:c r="R577" s="13"/>
      <x:c r="S577" s="13"/>
      <x:c r="T577" s="13"/>
    </x:row>
    <x:row r="578">
      <x:c r="A578" s="13" t="str">
        <x:v>Luis Felipe</x:v>
      </x:c>
      <x:c r="B578" s="13" t="n">
        <x:v>2030</x:v>
      </x:c>
      <x:c r="C578" s="13" t="str">
        <x:v>T1</x:v>
      </x:c>
      <x:c r="D578" s="24" t="n">
        <x:v>47573</x:v>
      </x:c>
      <x:c r="E578" s="13" t="str">
        <x:v>Volante</x:v>
      </x:c>
      <x:c r="F578" s="13" t="str">
        <x:v>SE Palmeiras Sub-20</x:v>
      </x:c>
      <x:c r="G578" s="16"/>
      <x:c r="H578" s="16"/>
      <x:c r="I578" s="16"/>
      <x:c r="J578" s="16"/>
      <x:c r="K578" s="16" t="str">
        <x:f>IF(COUNT(G578,I578)=0,"",AVERAGE(G578,I578))</x:f>
      </x:c>
      <x:c r="L578" s="16" t="str">
        <x:f>IF(COUNT(H578,J578)=0,"",AVERAGE(H578,J578))</x:f>
      </x:c>
      <x:c r="M578" s="16" t="str">
        <x:f>IF(OR(K578="",L578=""),"",L578-K578)</x:f>
      </x:c>
      <x:c r="N578" s="16" t="str">
        <x:f>IF(AND(A578=A577,ISNUMBER(K578),ISNUMBER(K577)),K578-K577,"")</x:f>
      </x:c>
      <x:c r="O578" s="13" t="str">
        <x:v>Sem informação</x:v>
      </x:c>
      <x:c r="P578" s="26"/>
      <x:c r="Q578" s="13"/>
      <x:c r="R578" s="13"/>
      <x:c r="S578" s="13"/>
      <x:c r="T578" s="13"/>
    </x:row>
    <x:row r="579">
      <x:c r="A579" s="13" t="str">
        <x:v>Luis Felipe</x:v>
      </x:c>
      <x:c r="B579" s="13" t="n">
        <x:v>2030</x:v>
      </x:c>
      <x:c r="C579" s="13" t="str">
        <x:v>T2</x:v>
      </x:c>
      <x:c r="D579" s="24" t="n">
        <x:v>47664</x:v>
      </x:c>
      <x:c r="E579" s="13" t="str">
        <x:v>Volante</x:v>
      </x:c>
      <x:c r="F579" s="13" t="str">
        <x:v>SE Palmeiras Sub-20</x:v>
      </x:c>
      <x:c r="G579" s="16"/>
      <x:c r="H579" s="16"/>
      <x:c r="I579" s="16"/>
      <x:c r="J579" s="16"/>
      <x:c r="K579" s="16" t="str">
        <x:f>IF(COUNT(G579,I579)=0,"",AVERAGE(G579,I579))</x:f>
      </x:c>
      <x:c r="L579" s="16" t="str">
        <x:f>IF(COUNT(H579,J579)=0,"",AVERAGE(H579,J579))</x:f>
      </x:c>
      <x:c r="M579" s="16" t="str">
        <x:f>IF(OR(K579="",L579=""),"",L579-K579)</x:f>
      </x:c>
      <x:c r="N579" s="16" t="str">
        <x:f>IF(AND(A579=A578,ISNUMBER(K579),ISNUMBER(K578)),K579-K578,"")</x:f>
      </x:c>
      <x:c r="O579" s="13" t="str">
        <x:v>Sem informação</x:v>
      </x:c>
      <x:c r="P579" s="26"/>
      <x:c r="Q579" s="13"/>
      <x:c r="R579" s="13"/>
      <x:c r="S579" s="13"/>
      <x:c r="T579" s="13"/>
    </x:row>
    <x:row r="580">
      <x:c r="A580" s="13" t="str">
        <x:v>Luis Felipe</x:v>
      </x:c>
      <x:c r="B580" s="13" t="n">
        <x:v>2030</x:v>
      </x:c>
      <x:c r="C580" s="13" t="str">
        <x:v>T3</x:v>
      </x:c>
      <x:c r="D580" s="24" t="n">
        <x:v>47756</x:v>
      </x:c>
      <x:c r="E580" s="13" t="str">
        <x:v>Volante</x:v>
      </x:c>
      <x:c r="F580" s="13" t="str">
        <x:v>SE Palmeiras Sub-20</x:v>
      </x:c>
      <x:c r="G580" s="16"/>
      <x:c r="H580" s="16"/>
      <x:c r="I580" s="16"/>
      <x:c r="J580" s="16"/>
      <x:c r="K580" s="16" t="str">
        <x:f>IF(COUNT(G580,I580)=0,"",AVERAGE(G580,I580))</x:f>
      </x:c>
      <x:c r="L580" s="16" t="str">
        <x:f>IF(COUNT(H580,J580)=0,"",AVERAGE(H580,J580))</x:f>
      </x:c>
      <x:c r="M580" s="16" t="str">
        <x:f>IF(OR(K580="",L580=""),"",L580-K580)</x:f>
      </x:c>
      <x:c r="N580" s="16" t="str">
        <x:f>IF(AND(A580=A579,ISNUMBER(K580),ISNUMBER(K579)),K580-K579,"")</x:f>
      </x:c>
      <x:c r="O580" s="13" t="str">
        <x:v>Sem informação</x:v>
      </x:c>
      <x:c r="P580" s="26"/>
      <x:c r="Q580" s="13"/>
      <x:c r="R580" s="13"/>
      <x:c r="S580" s="13"/>
      <x:c r="T580" s="13"/>
    </x:row>
    <x:row r="581">
      <x:c r="A581" s="13" t="str">
        <x:v>Luis Felipe</x:v>
      </x:c>
      <x:c r="B581" s="13" t="n">
        <x:v>2030</x:v>
      </x:c>
      <x:c r="C581" s="13" t="str">
        <x:v>T4</x:v>
      </x:c>
      <x:c r="D581" s="24" t="n">
        <x:v>47848</x:v>
      </x:c>
      <x:c r="E581" s="13" t="str">
        <x:v>Volante</x:v>
      </x:c>
      <x:c r="F581" s="13" t="str">
        <x:v>SE Palmeiras Sub-20</x:v>
      </x:c>
      <x:c r="G581" s="16"/>
      <x:c r="H581" s="16"/>
      <x:c r="I581" s="16"/>
      <x:c r="J581" s="16"/>
      <x:c r="K581" s="16" t="str">
        <x:f>IF(COUNT(G581,I581)=0,"",AVERAGE(G581,I581))</x:f>
      </x:c>
      <x:c r="L581" s="16" t="str">
        <x:f>IF(COUNT(H581,J581)=0,"",AVERAGE(H581,J581))</x:f>
      </x:c>
      <x:c r="M581" s="16" t="str">
        <x:f>IF(OR(K581="",L581=""),"",L581-K581)</x:f>
      </x:c>
      <x:c r="N581" s="16" t="str">
        <x:f>IF(AND(A581=A580,ISNUMBER(K581),ISNUMBER(K580)),K581-K580,"")</x:f>
      </x:c>
      <x:c r="O581" s="13" t="str">
        <x:v>Sem informação</x:v>
      </x:c>
      <x:c r="P581" s="26"/>
      <x:c r="Q581" s="13"/>
      <x:c r="R581" s="13"/>
      <x:c r="S581" s="13"/>
      <x:c r="T581" s="13"/>
    </x:row>
    <x:row r="582">
      <x:c r="A582" s="13" t="str">
        <x:v>Luis Gustavo</x:v>
      </x:c>
      <x:c r="B582" s="13" t="n">
        <x:v>2026</x:v>
      </x:c>
      <x:c r="C582" s="13" t="str">
        <x:v>T1</x:v>
      </x:c>
      <x:c r="D582" s="24" t="n">
        <x:v>46112</x:v>
      </x:c>
      <x:c r="E582" s="13" t="str">
        <x:v>Zagueiro</x:v>
      </x:c>
      <x:c r="F582" s="13" t="str">
        <x:v>SE Palmeiras</x:v>
      </x:c>
      <x:c r="G582" s="16"/>
      <x:c r="H582" s="16"/>
      <x:c r="I582" s="16"/>
      <x:c r="J582" s="16"/>
      <x:c r="K582" s="16" t="str">
        <x:f>IF(COUNT(G582,I582)=0,"",AVERAGE(G582,I582))</x:f>
      </x:c>
      <x:c r="L582" s="16" t="str">
        <x:f>IF(COUNT(H582,J582)=0,"",AVERAGE(H582,J582))</x:f>
      </x:c>
      <x:c r="M582" s="16" t="str">
        <x:f>IF(OR(K582="",L582=""),"",L582-K582)</x:f>
      </x:c>
      <x:c r="N582" s="16" t="str">
        <x:f>IF(AND(A582=A581,ISNUMBER(K582),ISNUMBER(K581)),K582-K581,"")</x:f>
      </x:c>
      <x:c r="O582" s="13" t="str">
        <x:v>Sem informação</x:v>
      </x:c>
      <x:c r="P582" s="26"/>
      <x:c r="Q582" s="13"/>
      <x:c r="R582" s="13"/>
      <x:c r="S582" s="13"/>
      <x:c r="T582" s="13"/>
    </x:row>
    <x:row r="583">
      <x:c r="A583" s="13" t="str">
        <x:v>Luis Gustavo</x:v>
      </x:c>
      <x:c r="B583" s="13" t="n">
        <x:v>2026</x:v>
      </x:c>
      <x:c r="C583" s="13" t="str">
        <x:v>T2</x:v>
      </x:c>
      <x:c r="D583" s="24" t="n">
        <x:v>46203</x:v>
      </x:c>
      <x:c r="E583" s="13" t="str">
        <x:v>Zagueiro</x:v>
      </x:c>
      <x:c r="F583" s="13" t="str">
        <x:v>SE Palmeiras</x:v>
      </x:c>
      <x:c r="G583" s="16"/>
      <x:c r="H583" s="16"/>
      <x:c r="I583" s="16"/>
      <x:c r="J583" s="16"/>
      <x:c r="K583" s="16" t="str">
        <x:f>IF(COUNT(G583,I583)=0,"",AVERAGE(G583,I583))</x:f>
      </x:c>
      <x:c r="L583" s="16" t="str">
        <x:f>IF(COUNT(H583,J583)=0,"",AVERAGE(H583,J583))</x:f>
      </x:c>
      <x:c r="M583" s="16" t="str">
        <x:f>IF(OR(K583="",L583=""),"",L583-K583)</x:f>
      </x:c>
      <x:c r="N583" s="16" t="str">
        <x:f>IF(AND(A583=A582,ISNUMBER(K583),ISNUMBER(K582)),K583-K582,"")</x:f>
      </x:c>
      <x:c r="O583" s="13" t="str">
        <x:v>Sem informação</x:v>
      </x:c>
      <x:c r="P583" s="26"/>
      <x:c r="Q583" s="13"/>
      <x:c r="R583" s="13"/>
      <x:c r="S583" s="13"/>
      <x:c r="T583" s="13"/>
    </x:row>
    <x:row r="584">
      <x:c r="A584" s="13" t="str">
        <x:v>Luis Gustavo</x:v>
      </x:c>
      <x:c r="B584" s="13" t="n">
        <x:v>2026</x:v>
      </x:c>
      <x:c r="C584" s="13" t="str">
        <x:v>T3</x:v>
      </x:c>
      <x:c r="D584" s="24" t="n">
        <x:v>46295</x:v>
      </x:c>
      <x:c r="E584" s="13" t="str">
        <x:v>Zagueiro</x:v>
      </x:c>
      <x:c r="F584" s="13" t="str">
        <x:v>SE Palmeiras</x:v>
      </x:c>
      <x:c r="G584" s="16"/>
      <x:c r="H584" s="16"/>
      <x:c r="I584" s="16"/>
      <x:c r="J584" s="16"/>
      <x:c r="K584" s="16" t="str">
        <x:f>IF(COUNT(G584,I584)=0,"",AVERAGE(G584,I584))</x:f>
      </x:c>
      <x:c r="L584" s="16" t="str">
        <x:f>IF(COUNT(H584,J584)=0,"",AVERAGE(H584,J584))</x:f>
      </x:c>
      <x:c r="M584" s="16" t="str">
        <x:f>IF(OR(K584="",L584=""),"",L584-K584)</x:f>
      </x:c>
      <x:c r="N584" s="16" t="str">
        <x:f>IF(AND(A584=A583,ISNUMBER(K584),ISNUMBER(K583)),K584-K583,"")</x:f>
      </x:c>
      <x:c r="O584" s="13" t="str">
        <x:v>Sem informação</x:v>
      </x:c>
      <x:c r="P584" s="26"/>
      <x:c r="Q584" s="13"/>
      <x:c r="R584" s="13"/>
      <x:c r="S584" s="13"/>
      <x:c r="T584" s="13"/>
    </x:row>
    <x:row r="585">
      <x:c r="A585" s="13" t="str">
        <x:v>Luis Gustavo</x:v>
      </x:c>
      <x:c r="B585" s="13" t="n">
        <x:v>2026</x:v>
      </x:c>
      <x:c r="C585" s="13" t="str">
        <x:v>T4</x:v>
      </x:c>
      <x:c r="D585" s="24" t="n">
        <x:v>46387</x:v>
      </x:c>
      <x:c r="E585" s="13" t="str">
        <x:v>Zagueiro</x:v>
      </x:c>
      <x:c r="F585" s="13" t="str">
        <x:v>SE Palmeiras</x:v>
      </x:c>
      <x:c r="G585" s="16"/>
      <x:c r="H585" s="16"/>
      <x:c r="I585" s="16"/>
      <x:c r="J585" s="16"/>
      <x:c r="K585" s="16" t="str">
        <x:f>IF(COUNT(G585,I585)=0,"",AVERAGE(G585,I585))</x:f>
      </x:c>
      <x:c r="L585" s="16" t="str">
        <x:f>IF(COUNT(H585,J585)=0,"",AVERAGE(H585,J585))</x:f>
      </x:c>
      <x:c r="M585" s="16" t="str">
        <x:f>IF(OR(K585="",L585=""),"",L585-K585)</x:f>
      </x:c>
      <x:c r="N585" s="16" t="str">
        <x:f>IF(AND(A585=A584,ISNUMBER(K585),ISNUMBER(K584)),K585-K584,"")</x:f>
      </x:c>
      <x:c r="O585" s="13" t="str">
        <x:v>Sem informação</x:v>
      </x:c>
      <x:c r="P585" s="26"/>
      <x:c r="Q585" s="13"/>
      <x:c r="R585" s="13"/>
      <x:c r="S585" s="13"/>
      <x:c r="T585" s="13"/>
    </x:row>
    <x:row r="586">
      <x:c r="A586" s="13" t="str">
        <x:v>Luis Gustavo</x:v>
      </x:c>
      <x:c r="B586" s="13" t="n">
        <x:v>2027</x:v>
      </x:c>
      <x:c r="C586" s="13" t="str">
        <x:v>T1</x:v>
      </x:c>
      <x:c r="D586" s="24" t="n">
        <x:v>46477</x:v>
      </x:c>
      <x:c r="E586" s="13" t="str">
        <x:v>Zagueiro</x:v>
      </x:c>
      <x:c r="F586" s="13" t="str">
        <x:v>SE Palmeiras</x:v>
      </x:c>
      <x:c r="G586" s="16"/>
      <x:c r="H586" s="16"/>
      <x:c r="I586" s="16"/>
      <x:c r="J586" s="16"/>
      <x:c r="K586" s="16" t="str">
        <x:f>IF(COUNT(G586,I586)=0,"",AVERAGE(G586,I586))</x:f>
      </x:c>
      <x:c r="L586" s="16" t="str">
        <x:f>IF(COUNT(H586,J586)=0,"",AVERAGE(H586,J586))</x:f>
      </x:c>
      <x:c r="M586" s="16" t="str">
        <x:f>IF(OR(K586="",L586=""),"",L586-K586)</x:f>
      </x:c>
      <x:c r="N586" s="16" t="str">
        <x:f>IF(AND(A586=A585,ISNUMBER(K586),ISNUMBER(K585)),K586-K585,"")</x:f>
      </x:c>
      <x:c r="O586" s="13" t="str">
        <x:v>Sem informação</x:v>
      </x:c>
      <x:c r="P586" s="26"/>
      <x:c r="Q586" s="13"/>
      <x:c r="R586" s="13"/>
      <x:c r="S586" s="13"/>
      <x:c r="T586" s="13"/>
    </x:row>
    <x:row r="587">
      <x:c r="A587" s="13" t="str">
        <x:v>Luis Gustavo</x:v>
      </x:c>
      <x:c r="B587" s="13" t="n">
        <x:v>2027</x:v>
      </x:c>
      <x:c r="C587" s="13" t="str">
        <x:v>T2</x:v>
      </x:c>
      <x:c r="D587" s="24" t="n">
        <x:v>46568</x:v>
      </x:c>
      <x:c r="E587" s="13" t="str">
        <x:v>Zagueiro</x:v>
      </x:c>
      <x:c r="F587" s="13" t="str">
        <x:v>SE Palmeiras</x:v>
      </x:c>
      <x:c r="G587" s="16"/>
      <x:c r="H587" s="16"/>
      <x:c r="I587" s="16"/>
      <x:c r="J587" s="16"/>
      <x:c r="K587" s="16" t="str">
        <x:f>IF(COUNT(G587,I587)=0,"",AVERAGE(G587,I587))</x:f>
      </x:c>
      <x:c r="L587" s="16" t="str">
        <x:f>IF(COUNT(H587,J587)=0,"",AVERAGE(H587,J587))</x:f>
      </x:c>
      <x:c r="M587" s="16" t="str">
        <x:f>IF(OR(K587="",L587=""),"",L587-K587)</x:f>
      </x:c>
      <x:c r="N587" s="16" t="str">
        <x:f>IF(AND(A587=A586,ISNUMBER(K587),ISNUMBER(K586)),K587-K586,"")</x:f>
      </x:c>
      <x:c r="O587" s="13" t="str">
        <x:v>Sem informação</x:v>
      </x:c>
      <x:c r="P587" s="26"/>
      <x:c r="Q587" s="13"/>
      <x:c r="R587" s="13"/>
      <x:c r="S587" s="13"/>
      <x:c r="T587" s="13"/>
    </x:row>
    <x:row r="588">
      <x:c r="A588" s="13" t="str">
        <x:v>Luis Gustavo</x:v>
      </x:c>
      <x:c r="B588" s="13" t="n">
        <x:v>2027</x:v>
      </x:c>
      <x:c r="C588" s="13" t="str">
        <x:v>T3</x:v>
      </x:c>
      <x:c r="D588" s="24" t="n">
        <x:v>46660</x:v>
      </x:c>
      <x:c r="E588" s="13" t="str">
        <x:v>Zagueiro</x:v>
      </x:c>
      <x:c r="F588" s="13" t="str">
        <x:v>SE Palmeiras</x:v>
      </x:c>
      <x:c r="G588" s="16"/>
      <x:c r="H588" s="16"/>
      <x:c r="I588" s="16"/>
      <x:c r="J588" s="16"/>
      <x:c r="K588" s="16" t="str">
        <x:f>IF(COUNT(G588,I588)=0,"",AVERAGE(G588,I588))</x:f>
      </x:c>
      <x:c r="L588" s="16" t="str">
        <x:f>IF(COUNT(H588,J588)=0,"",AVERAGE(H588,J588))</x:f>
      </x:c>
      <x:c r="M588" s="16" t="str">
        <x:f>IF(OR(K588="",L588=""),"",L588-K588)</x:f>
      </x:c>
      <x:c r="N588" s="16" t="str">
        <x:f>IF(AND(A588=A587,ISNUMBER(K588),ISNUMBER(K587)),K588-K587,"")</x:f>
      </x:c>
      <x:c r="O588" s="13" t="str">
        <x:v>Sem informação</x:v>
      </x:c>
      <x:c r="P588" s="26"/>
      <x:c r="Q588" s="13"/>
      <x:c r="R588" s="13"/>
      <x:c r="S588" s="13"/>
      <x:c r="T588" s="13"/>
    </x:row>
    <x:row r="589">
      <x:c r="A589" s="13" t="str">
        <x:v>Luis Gustavo</x:v>
      </x:c>
      <x:c r="B589" s="13" t="n">
        <x:v>2027</x:v>
      </x:c>
      <x:c r="C589" s="13" t="str">
        <x:v>T4</x:v>
      </x:c>
      <x:c r="D589" s="24" t="n">
        <x:v>46752</x:v>
      </x:c>
      <x:c r="E589" s="13" t="str">
        <x:v>Zagueiro</x:v>
      </x:c>
      <x:c r="F589" s="13" t="str">
        <x:v>SE Palmeiras</x:v>
      </x:c>
      <x:c r="G589" s="16"/>
      <x:c r="H589" s="16"/>
      <x:c r="I589" s="16"/>
      <x:c r="J589" s="16"/>
      <x:c r="K589" s="16" t="str">
        <x:f>IF(COUNT(G589,I589)=0,"",AVERAGE(G589,I589))</x:f>
      </x:c>
      <x:c r="L589" s="16" t="str">
        <x:f>IF(COUNT(H589,J589)=0,"",AVERAGE(H589,J589))</x:f>
      </x:c>
      <x:c r="M589" s="16" t="str">
        <x:f>IF(OR(K589="",L589=""),"",L589-K589)</x:f>
      </x:c>
      <x:c r="N589" s="16" t="str">
        <x:f>IF(AND(A589=A588,ISNUMBER(K589),ISNUMBER(K588)),K589-K588,"")</x:f>
      </x:c>
      <x:c r="O589" s="13" t="str">
        <x:v>Sem informação</x:v>
      </x:c>
      <x:c r="P589" s="26"/>
      <x:c r="Q589" s="13"/>
      <x:c r="R589" s="13"/>
      <x:c r="S589" s="13"/>
      <x:c r="T589" s="13"/>
    </x:row>
    <x:row r="590">
      <x:c r="A590" s="13" t="str">
        <x:v>Luis Gustavo</x:v>
      </x:c>
      <x:c r="B590" s="13" t="n">
        <x:v>2028</x:v>
      </x:c>
      <x:c r="C590" s="13" t="str">
        <x:v>T1</x:v>
      </x:c>
      <x:c r="D590" s="24" t="n">
        <x:v>46843</x:v>
      </x:c>
      <x:c r="E590" s="13" t="str">
        <x:v>Zagueiro</x:v>
      </x:c>
      <x:c r="F590" s="13" t="str">
        <x:v>SE Palmeiras</x:v>
      </x:c>
      <x:c r="G590" s="16"/>
      <x:c r="H590" s="16"/>
      <x:c r="I590" s="16"/>
      <x:c r="J590" s="16"/>
      <x:c r="K590" s="16" t="str">
        <x:f>IF(COUNT(G590,I590)=0,"",AVERAGE(G590,I590))</x:f>
      </x:c>
      <x:c r="L590" s="16" t="str">
        <x:f>IF(COUNT(H590,J590)=0,"",AVERAGE(H590,J590))</x:f>
      </x:c>
      <x:c r="M590" s="16" t="str">
        <x:f>IF(OR(K590="",L590=""),"",L590-K590)</x:f>
      </x:c>
      <x:c r="N590" s="16" t="str">
        <x:f>IF(AND(A590=A589,ISNUMBER(K590),ISNUMBER(K589)),K590-K589,"")</x:f>
      </x:c>
      <x:c r="O590" s="13" t="str">
        <x:v>Sem informação</x:v>
      </x:c>
      <x:c r="P590" s="26"/>
      <x:c r="Q590" s="13"/>
      <x:c r="R590" s="13"/>
      <x:c r="S590" s="13"/>
      <x:c r="T590" s="13"/>
    </x:row>
    <x:row r="591">
      <x:c r="A591" s="13" t="str">
        <x:v>Luis Gustavo</x:v>
      </x:c>
      <x:c r="B591" s="13" t="n">
        <x:v>2028</x:v>
      </x:c>
      <x:c r="C591" s="13" t="str">
        <x:v>T2</x:v>
      </x:c>
      <x:c r="D591" s="24" t="n">
        <x:v>46934</x:v>
      </x:c>
      <x:c r="E591" s="13" t="str">
        <x:v>Zagueiro</x:v>
      </x:c>
      <x:c r="F591" s="13" t="str">
        <x:v>SE Palmeiras</x:v>
      </x:c>
      <x:c r="G591" s="16"/>
      <x:c r="H591" s="16"/>
      <x:c r="I591" s="16"/>
      <x:c r="J591" s="16"/>
      <x:c r="K591" s="16" t="str">
        <x:f>IF(COUNT(G591,I591)=0,"",AVERAGE(G591,I591))</x:f>
      </x:c>
      <x:c r="L591" s="16" t="str">
        <x:f>IF(COUNT(H591,J591)=0,"",AVERAGE(H591,J591))</x:f>
      </x:c>
      <x:c r="M591" s="16" t="str">
        <x:f>IF(OR(K591="",L591=""),"",L591-K591)</x:f>
      </x:c>
      <x:c r="N591" s="16" t="str">
        <x:f>IF(AND(A591=A590,ISNUMBER(K591),ISNUMBER(K590)),K591-K590,"")</x:f>
      </x:c>
      <x:c r="O591" s="13" t="str">
        <x:v>Sem informação</x:v>
      </x:c>
      <x:c r="P591" s="26"/>
      <x:c r="Q591" s="13"/>
      <x:c r="R591" s="13"/>
      <x:c r="S591" s="13"/>
      <x:c r="T591" s="13"/>
    </x:row>
    <x:row r="592">
      <x:c r="A592" s="13" t="str">
        <x:v>Luis Gustavo</x:v>
      </x:c>
      <x:c r="B592" s="13" t="n">
        <x:v>2028</x:v>
      </x:c>
      <x:c r="C592" s="13" t="str">
        <x:v>T3</x:v>
      </x:c>
      <x:c r="D592" s="24" t="n">
        <x:v>47026</x:v>
      </x:c>
      <x:c r="E592" s="13" t="str">
        <x:v>Zagueiro</x:v>
      </x:c>
      <x:c r="F592" s="13" t="str">
        <x:v>SE Palmeiras</x:v>
      </x:c>
      <x:c r="G592" s="16"/>
      <x:c r="H592" s="16"/>
      <x:c r="I592" s="16"/>
      <x:c r="J592" s="16"/>
      <x:c r="K592" s="16" t="str">
        <x:f>IF(COUNT(G592,I592)=0,"",AVERAGE(G592,I592))</x:f>
      </x:c>
      <x:c r="L592" s="16" t="str">
        <x:f>IF(COUNT(H592,J592)=0,"",AVERAGE(H592,J592))</x:f>
      </x:c>
      <x:c r="M592" s="16" t="str">
        <x:f>IF(OR(K592="",L592=""),"",L592-K592)</x:f>
      </x:c>
      <x:c r="N592" s="16" t="str">
        <x:f>IF(AND(A592=A591,ISNUMBER(K592),ISNUMBER(K591)),K592-K591,"")</x:f>
      </x:c>
      <x:c r="O592" s="13" t="str">
        <x:v>Sem informação</x:v>
      </x:c>
      <x:c r="P592" s="26"/>
      <x:c r="Q592" s="13"/>
      <x:c r="R592" s="13"/>
      <x:c r="S592" s="13"/>
      <x:c r="T592" s="13"/>
    </x:row>
    <x:row r="593">
      <x:c r="A593" s="13" t="str">
        <x:v>Luis Gustavo</x:v>
      </x:c>
      <x:c r="B593" s="13" t="n">
        <x:v>2028</x:v>
      </x:c>
      <x:c r="C593" s="13" t="str">
        <x:v>T4</x:v>
      </x:c>
      <x:c r="D593" s="24" t="n">
        <x:v>47118</x:v>
      </x:c>
      <x:c r="E593" s="13" t="str">
        <x:v>Zagueiro</x:v>
      </x:c>
      <x:c r="F593" s="13" t="str">
        <x:v>SE Palmeiras</x:v>
      </x:c>
      <x:c r="G593" s="16"/>
      <x:c r="H593" s="16"/>
      <x:c r="I593" s="16"/>
      <x:c r="J593" s="16"/>
      <x:c r="K593" s="16" t="str">
        <x:f>IF(COUNT(G593,I593)=0,"",AVERAGE(G593,I593))</x:f>
      </x:c>
      <x:c r="L593" s="16" t="str">
        <x:f>IF(COUNT(H593,J593)=0,"",AVERAGE(H593,J593))</x:f>
      </x:c>
      <x:c r="M593" s="16" t="str">
        <x:f>IF(OR(K593="",L593=""),"",L593-K593)</x:f>
      </x:c>
      <x:c r="N593" s="16" t="str">
        <x:f>IF(AND(A593=A592,ISNUMBER(K593),ISNUMBER(K592)),K593-K592,"")</x:f>
      </x:c>
      <x:c r="O593" s="13" t="str">
        <x:v>Sem informação</x:v>
      </x:c>
      <x:c r="P593" s="26"/>
      <x:c r="Q593" s="13"/>
      <x:c r="R593" s="13"/>
      <x:c r="S593" s="13"/>
      <x:c r="T593" s="13"/>
    </x:row>
    <x:row r="594">
      <x:c r="A594" s="13" t="str">
        <x:v>Luis Gustavo</x:v>
      </x:c>
      <x:c r="B594" s="13" t="n">
        <x:v>2029</x:v>
      </x:c>
      <x:c r="C594" s="13" t="str">
        <x:v>T1</x:v>
      </x:c>
      <x:c r="D594" s="24" t="n">
        <x:v>47208</x:v>
      </x:c>
      <x:c r="E594" s="13" t="str">
        <x:v>Zagueiro</x:v>
      </x:c>
      <x:c r="F594" s="13" t="str">
        <x:v>SE Palmeiras</x:v>
      </x:c>
      <x:c r="G594" s="16"/>
      <x:c r="H594" s="16"/>
      <x:c r="I594" s="16"/>
      <x:c r="J594" s="16"/>
      <x:c r="K594" s="16" t="str">
        <x:f>IF(COUNT(G594,I594)=0,"",AVERAGE(G594,I594))</x:f>
      </x:c>
      <x:c r="L594" s="16" t="str">
        <x:f>IF(COUNT(H594,J594)=0,"",AVERAGE(H594,J594))</x:f>
      </x:c>
      <x:c r="M594" s="16" t="str">
        <x:f>IF(OR(K594="",L594=""),"",L594-K594)</x:f>
      </x:c>
      <x:c r="N594" s="16" t="str">
        <x:f>IF(AND(A594=A593,ISNUMBER(K594),ISNUMBER(K593)),K594-K593,"")</x:f>
      </x:c>
      <x:c r="O594" s="13" t="str">
        <x:v>Sem informação</x:v>
      </x:c>
      <x:c r="P594" s="26"/>
      <x:c r="Q594" s="13"/>
      <x:c r="R594" s="13"/>
      <x:c r="S594" s="13"/>
      <x:c r="T594" s="13"/>
    </x:row>
    <x:row r="595">
      <x:c r="A595" s="13" t="str">
        <x:v>Luis Gustavo</x:v>
      </x:c>
      <x:c r="B595" s="13" t="n">
        <x:v>2029</x:v>
      </x:c>
      <x:c r="C595" s="13" t="str">
        <x:v>T2</x:v>
      </x:c>
      <x:c r="D595" s="24" t="n">
        <x:v>47299</x:v>
      </x:c>
      <x:c r="E595" s="13" t="str">
        <x:v>Zagueiro</x:v>
      </x:c>
      <x:c r="F595" s="13" t="str">
        <x:v>SE Palmeiras</x:v>
      </x:c>
      <x:c r="G595" s="16"/>
      <x:c r="H595" s="16"/>
      <x:c r="I595" s="16"/>
      <x:c r="J595" s="16"/>
      <x:c r="K595" s="16" t="str">
        <x:f>IF(COUNT(G595,I595)=0,"",AVERAGE(G595,I595))</x:f>
      </x:c>
      <x:c r="L595" s="16" t="str">
        <x:f>IF(COUNT(H595,J595)=0,"",AVERAGE(H595,J595))</x:f>
      </x:c>
      <x:c r="M595" s="16" t="str">
        <x:f>IF(OR(K595="",L595=""),"",L595-K595)</x:f>
      </x:c>
      <x:c r="N595" s="16" t="str">
        <x:f>IF(AND(A595=A594,ISNUMBER(K595),ISNUMBER(K594)),K595-K594,"")</x:f>
      </x:c>
      <x:c r="O595" s="13" t="str">
        <x:v>Sem informação</x:v>
      </x:c>
      <x:c r="P595" s="26"/>
      <x:c r="Q595" s="13"/>
      <x:c r="R595" s="13"/>
      <x:c r="S595" s="13"/>
      <x:c r="T595" s="13"/>
    </x:row>
    <x:row r="596">
      <x:c r="A596" s="13" t="str">
        <x:v>Luis Gustavo</x:v>
      </x:c>
      <x:c r="B596" s="13" t="n">
        <x:v>2029</x:v>
      </x:c>
      <x:c r="C596" s="13" t="str">
        <x:v>T3</x:v>
      </x:c>
      <x:c r="D596" s="24" t="n">
        <x:v>47391</x:v>
      </x:c>
      <x:c r="E596" s="13" t="str">
        <x:v>Zagueiro</x:v>
      </x:c>
      <x:c r="F596" s="13" t="str">
        <x:v>SE Palmeiras</x:v>
      </x:c>
      <x:c r="G596" s="16"/>
      <x:c r="H596" s="16"/>
      <x:c r="I596" s="16"/>
      <x:c r="J596" s="16"/>
      <x:c r="K596" s="16" t="str">
        <x:f>IF(COUNT(G596,I596)=0,"",AVERAGE(G596,I596))</x:f>
      </x:c>
      <x:c r="L596" s="16" t="str">
        <x:f>IF(COUNT(H596,J596)=0,"",AVERAGE(H596,J596))</x:f>
      </x:c>
      <x:c r="M596" s="16" t="str">
        <x:f>IF(OR(K596="",L596=""),"",L596-K596)</x:f>
      </x:c>
      <x:c r="N596" s="16" t="str">
        <x:f>IF(AND(A596=A595,ISNUMBER(K596),ISNUMBER(K595)),K596-K595,"")</x:f>
      </x:c>
      <x:c r="O596" s="13" t="str">
        <x:v>Sem informação</x:v>
      </x:c>
      <x:c r="P596" s="26"/>
      <x:c r="Q596" s="13"/>
      <x:c r="R596" s="13"/>
      <x:c r="S596" s="13"/>
      <x:c r="T596" s="13"/>
    </x:row>
    <x:row r="597">
      <x:c r="A597" s="13" t="str">
        <x:v>Luis Gustavo</x:v>
      </x:c>
      <x:c r="B597" s="13" t="n">
        <x:v>2029</x:v>
      </x:c>
      <x:c r="C597" s="13" t="str">
        <x:v>T4</x:v>
      </x:c>
      <x:c r="D597" s="24" t="n">
        <x:v>47483</x:v>
      </x:c>
      <x:c r="E597" s="13" t="str">
        <x:v>Zagueiro</x:v>
      </x:c>
      <x:c r="F597" s="13" t="str">
        <x:v>SE Palmeiras</x:v>
      </x:c>
      <x:c r="G597" s="16"/>
      <x:c r="H597" s="16"/>
      <x:c r="I597" s="16"/>
      <x:c r="J597" s="16"/>
      <x:c r="K597" s="16" t="str">
        <x:f>IF(COUNT(G597,I597)=0,"",AVERAGE(G597,I597))</x:f>
      </x:c>
      <x:c r="L597" s="16" t="str">
        <x:f>IF(COUNT(H597,J597)=0,"",AVERAGE(H597,J597))</x:f>
      </x:c>
      <x:c r="M597" s="16" t="str">
        <x:f>IF(OR(K597="",L597=""),"",L597-K597)</x:f>
      </x:c>
      <x:c r="N597" s="16" t="str">
        <x:f>IF(AND(A597=A596,ISNUMBER(K597),ISNUMBER(K596)),K597-K596,"")</x:f>
      </x:c>
      <x:c r="O597" s="13" t="str">
        <x:v>Sem informação</x:v>
      </x:c>
      <x:c r="P597" s="26"/>
      <x:c r="Q597" s="13"/>
      <x:c r="R597" s="13"/>
      <x:c r="S597" s="13"/>
      <x:c r="T597" s="13"/>
    </x:row>
    <x:row r="598">
      <x:c r="A598" s="13" t="str">
        <x:v>Luis Gustavo</x:v>
      </x:c>
      <x:c r="B598" s="13" t="n">
        <x:v>2030</x:v>
      </x:c>
      <x:c r="C598" s="13" t="str">
        <x:v>T1</x:v>
      </x:c>
      <x:c r="D598" s="24" t="n">
        <x:v>47573</x:v>
      </x:c>
      <x:c r="E598" s="13" t="str">
        <x:v>Zagueiro</x:v>
      </x:c>
      <x:c r="F598" s="13" t="str">
        <x:v>SE Palmeiras</x:v>
      </x:c>
      <x:c r="G598" s="16"/>
      <x:c r="H598" s="16"/>
      <x:c r="I598" s="16"/>
      <x:c r="J598" s="16"/>
      <x:c r="K598" s="16" t="str">
        <x:f>IF(COUNT(G598,I598)=0,"",AVERAGE(G598,I598))</x:f>
      </x:c>
      <x:c r="L598" s="16" t="str">
        <x:f>IF(COUNT(H598,J598)=0,"",AVERAGE(H598,J598))</x:f>
      </x:c>
      <x:c r="M598" s="16" t="str">
        <x:f>IF(OR(K598="",L598=""),"",L598-K598)</x:f>
      </x:c>
      <x:c r="N598" s="16" t="str">
        <x:f>IF(AND(A598=A597,ISNUMBER(K598),ISNUMBER(K597)),K598-K597,"")</x:f>
      </x:c>
      <x:c r="O598" s="13" t="str">
        <x:v>Sem informação</x:v>
      </x:c>
      <x:c r="P598" s="26"/>
      <x:c r="Q598" s="13"/>
      <x:c r="R598" s="13"/>
      <x:c r="S598" s="13"/>
      <x:c r="T598" s="13"/>
    </x:row>
    <x:row r="599">
      <x:c r="A599" s="13" t="str">
        <x:v>Luis Gustavo</x:v>
      </x:c>
      <x:c r="B599" s="13" t="n">
        <x:v>2030</x:v>
      </x:c>
      <x:c r="C599" s="13" t="str">
        <x:v>T2</x:v>
      </x:c>
      <x:c r="D599" s="24" t="n">
        <x:v>47664</x:v>
      </x:c>
      <x:c r="E599" s="13" t="str">
        <x:v>Zagueiro</x:v>
      </x:c>
      <x:c r="F599" s="13" t="str">
        <x:v>SE Palmeiras</x:v>
      </x:c>
      <x:c r="G599" s="16"/>
      <x:c r="H599" s="16"/>
      <x:c r="I599" s="16"/>
      <x:c r="J599" s="16"/>
      <x:c r="K599" s="16" t="str">
        <x:f>IF(COUNT(G599,I599)=0,"",AVERAGE(G599,I599))</x:f>
      </x:c>
      <x:c r="L599" s="16" t="str">
        <x:f>IF(COUNT(H599,J599)=0,"",AVERAGE(H599,J599))</x:f>
      </x:c>
      <x:c r="M599" s="16" t="str">
        <x:f>IF(OR(K599="",L599=""),"",L599-K599)</x:f>
      </x:c>
      <x:c r="N599" s="16" t="str">
        <x:f>IF(AND(A599=A598,ISNUMBER(K599),ISNUMBER(K598)),K599-K598,"")</x:f>
      </x:c>
      <x:c r="O599" s="13" t="str">
        <x:v>Sem informação</x:v>
      </x:c>
      <x:c r="P599" s="26"/>
      <x:c r="Q599" s="13"/>
      <x:c r="R599" s="13"/>
      <x:c r="S599" s="13"/>
      <x:c r="T599" s="13"/>
    </x:row>
    <x:row r="600">
      <x:c r="A600" s="13" t="str">
        <x:v>Luis Gustavo</x:v>
      </x:c>
      <x:c r="B600" s="13" t="n">
        <x:v>2030</x:v>
      </x:c>
      <x:c r="C600" s="13" t="str">
        <x:v>T3</x:v>
      </x:c>
      <x:c r="D600" s="24" t="n">
        <x:v>47756</x:v>
      </x:c>
      <x:c r="E600" s="13" t="str">
        <x:v>Zagueiro</x:v>
      </x:c>
      <x:c r="F600" s="13" t="str">
        <x:v>SE Palmeiras</x:v>
      </x:c>
      <x:c r="G600" s="16"/>
      <x:c r="H600" s="16"/>
      <x:c r="I600" s="16"/>
      <x:c r="J600" s="16"/>
      <x:c r="K600" s="16" t="str">
        <x:f>IF(COUNT(G600,I600)=0,"",AVERAGE(G600,I600))</x:f>
      </x:c>
      <x:c r="L600" s="16" t="str">
        <x:f>IF(COUNT(H600,J600)=0,"",AVERAGE(H600,J600))</x:f>
      </x:c>
      <x:c r="M600" s="16" t="str">
        <x:f>IF(OR(K600="",L600=""),"",L600-K600)</x:f>
      </x:c>
      <x:c r="N600" s="16" t="str">
        <x:f>IF(AND(A600=A599,ISNUMBER(K600),ISNUMBER(K599)),K600-K599,"")</x:f>
      </x:c>
      <x:c r="O600" s="13" t="str">
        <x:v>Sem informação</x:v>
      </x:c>
      <x:c r="P600" s="26"/>
      <x:c r="Q600" s="13"/>
      <x:c r="R600" s="13"/>
      <x:c r="S600" s="13"/>
      <x:c r="T600" s="13"/>
    </x:row>
    <x:row r="601">
      <x:c r="A601" s="13" t="str">
        <x:v>Luis Gustavo</x:v>
      </x:c>
      <x:c r="B601" s="13" t="n">
        <x:v>2030</x:v>
      </x:c>
      <x:c r="C601" s="13" t="str">
        <x:v>T4</x:v>
      </x:c>
      <x:c r="D601" s="24" t="n">
        <x:v>47848</x:v>
      </x:c>
      <x:c r="E601" s="13" t="str">
        <x:v>Zagueiro</x:v>
      </x:c>
      <x:c r="F601" s="13" t="str">
        <x:v>SE Palmeiras</x:v>
      </x:c>
      <x:c r="G601" s="16"/>
      <x:c r="H601" s="16"/>
      <x:c r="I601" s="16"/>
      <x:c r="J601" s="16"/>
      <x:c r="K601" s="16" t="str">
        <x:f>IF(COUNT(G601,I601)=0,"",AVERAGE(G601,I601))</x:f>
      </x:c>
      <x:c r="L601" s="16" t="str">
        <x:f>IF(COUNT(H601,J601)=0,"",AVERAGE(H601,J601))</x:f>
      </x:c>
      <x:c r="M601" s="16" t="str">
        <x:f>IF(OR(K601="",L601=""),"",L601-K601)</x:f>
      </x:c>
      <x:c r="N601" s="16" t="str">
        <x:f>IF(AND(A601=A600,ISNUMBER(K601),ISNUMBER(K600)),K601-K600,"")</x:f>
      </x:c>
      <x:c r="O601" s="13" t="str">
        <x:v>Sem informação</x:v>
      </x:c>
      <x:c r="P601" s="26"/>
      <x:c r="Q601" s="13"/>
      <x:c r="R601" s="13"/>
      <x:c r="S601" s="13"/>
      <x:c r="T601" s="13"/>
    </x:row>
    <x:row r="602">
      <x:c r="A602" s="13" t="str">
        <x:v>Matheus Cunha</x:v>
      </x:c>
      <x:c r="B602" s="13" t="n">
        <x:v>2026</x:v>
      </x:c>
      <x:c r="C602" s="13" t="str">
        <x:v>T1</x:v>
      </x:c>
      <x:c r="D602" s="24" t="n">
        <x:v>46112</x:v>
      </x:c>
      <x:c r="E602" s="13" t="str">
        <x:v>Centroavante</x:v>
      </x:c>
      <x:c r="F602" s="13" t="str">
        <x:v>Wolverhampton Wanderers</x:v>
      </x:c>
      <x:c r="G602" s="16"/>
      <x:c r="H602" s="16"/>
      <x:c r="I602" s="16"/>
      <x:c r="J602" s="16"/>
      <x:c r="K602" s="16" t="str">
        <x:f>IF(COUNT(G602,I602)=0,"",AVERAGE(G602,I602))</x:f>
      </x:c>
      <x:c r="L602" s="16" t="str">
        <x:f>IF(COUNT(H602,J602)=0,"",AVERAGE(H602,J602))</x:f>
      </x:c>
      <x:c r="M602" s="16" t="str">
        <x:f>IF(OR(K602="",L602=""),"",L602-K602)</x:f>
      </x:c>
      <x:c r="N602" s="16" t="str">
        <x:f>IF(AND(A602=A601,ISNUMBER(K602),ISNUMBER(K601)),K602-K601,"")</x:f>
      </x:c>
      <x:c r="O602" s="13" t="str">
        <x:v>Sem informação</x:v>
      </x:c>
      <x:c r="P602" s="26"/>
      <x:c r="Q602" s="13"/>
      <x:c r="R602" s="13"/>
      <x:c r="S602" s="13"/>
      <x:c r="T602" s="13"/>
    </x:row>
    <x:row r="603">
      <x:c r="A603" s="13" t="str">
        <x:v>Matheus Cunha</x:v>
      </x:c>
      <x:c r="B603" s="13" t="n">
        <x:v>2026</x:v>
      </x:c>
      <x:c r="C603" s="13" t="str">
        <x:v>T2</x:v>
      </x:c>
      <x:c r="D603" s="24" t="n">
        <x:v>46203</x:v>
      </x:c>
      <x:c r="E603" s="13" t="str">
        <x:v>Centroavante</x:v>
      </x:c>
      <x:c r="F603" s="13" t="str">
        <x:v>Wolverhampton Wanderers</x:v>
      </x:c>
      <x:c r="G603" s="16"/>
      <x:c r="H603" s="16"/>
      <x:c r="I603" s="16"/>
      <x:c r="J603" s="16"/>
      <x:c r="K603" s="16" t="str">
        <x:f>IF(COUNT(G603,I603)=0,"",AVERAGE(G603,I603))</x:f>
      </x:c>
      <x:c r="L603" s="16" t="str">
        <x:f>IF(COUNT(H603,J603)=0,"",AVERAGE(H603,J603))</x:f>
      </x:c>
      <x:c r="M603" s="16" t="str">
        <x:f>IF(OR(K603="",L603=""),"",L603-K603)</x:f>
      </x:c>
      <x:c r="N603" s="16" t="str">
        <x:f>IF(AND(A603=A602,ISNUMBER(K603),ISNUMBER(K602)),K603-K602,"")</x:f>
      </x:c>
      <x:c r="O603" s="13" t="str">
        <x:v>Sem informação</x:v>
      </x:c>
      <x:c r="P603" s="26"/>
      <x:c r="Q603" s="13"/>
      <x:c r="R603" s="13"/>
      <x:c r="S603" s="13"/>
      <x:c r="T603" s="13"/>
    </x:row>
    <x:row r="604">
      <x:c r="A604" s="13" t="str">
        <x:v>Matheus Cunha</x:v>
      </x:c>
      <x:c r="B604" s="13" t="n">
        <x:v>2026</x:v>
      </x:c>
      <x:c r="C604" s="13" t="str">
        <x:v>T3</x:v>
      </x:c>
      <x:c r="D604" s="24" t="n">
        <x:v>46295</x:v>
      </x:c>
      <x:c r="E604" s="13" t="str">
        <x:v>Centroavante</x:v>
      </x:c>
      <x:c r="F604" s="13" t="str">
        <x:v>Wolverhampton Wanderers</x:v>
      </x:c>
      <x:c r="G604" s="16"/>
      <x:c r="H604" s="16"/>
      <x:c r="I604" s="16"/>
      <x:c r="J604" s="16"/>
      <x:c r="K604" s="16" t="str">
        <x:f>IF(COUNT(G604,I604)=0,"",AVERAGE(G604,I604))</x:f>
      </x:c>
      <x:c r="L604" s="16" t="str">
        <x:f>IF(COUNT(H604,J604)=0,"",AVERAGE(H604,J604))</x:f>
      </x:c>
      <x:c r="M604" s="16" t="str">
        <x:f>IF(OR(K604="",L604=""),"",L604-K604)</x:f>
      </x:c>
      <x:c r="N604" s="16" t="str">
        <x:f>IF(AND(A604=A603,ISNUMBER(K604),ISNUMBER(K603)),K604-K603,"")</x:f>
      </x:c>
      <x:c r="O604" s="13" t="str">
        <x:v>Sem informação</x:v>
      </x:c>
      <x:c r="P604" s="26"/>
      <x:c r="Q604" s="13"/>
      <x:c r="R604" s="13"/>
      <x:c r="S604" s="13"/>
      <x:c r="T604" s="13"/>
    </x:row>
    <x:row r="605">
      <x:c r="A605" s="13" t="str">
        <x:v>Matheus Cunha</x:v>
      </x:c>
      <x:c r="B605" s="13" t="n">
        <x:v>2026</x:v>
      </x:c>
      <x:c r="C605" s="13" t="str">
        <x:v>T4</x:v>
      </x:c>
      <x:c r="D605" s="24" t="n">
        <x:v>46387</x:v>
      </x:c>
      <x:c r="E605" s="13" t="str">
        <x:v>Centroavante</x:v>
      </x:c>
      <x:c r="F605" s="13" t="str">
        <x:v>Wolverhampton Wanderers</x:v>
      </x:c>
      <x:c r="G605" s="16"/>
      <x:c r="H605" s="16"/>
      <x:c r="I605" s="16"/>
      <x:c r="J605" s="16"/>
      <x:c r="K605" s="16" t="str">
        <x:f>IF(COUNT(G605,I605)=0,"",AVERAGE(G605,I605))</x:f>
      </x:c>
      <x:c r="L605" s="16" t="str">
        <x:f>IF(COUNT(H605,J605)=0,"",AVERAGE(H605,J605))</x:f>
      </x:c>
      <x:c r="M605" s="16" t="str">
        <x:f>IF(OR(K605="",L605=""),"",L605-K605)</x:f>
      </x:c>
      <x:c r="N605" s="16" t="str">
        <x:f>IF(AND(A605=A604,ISNUMBER(K605),ISNUMBER(K604)),K605-K604,"")</x:f>
      </x:c>
      <x:c r="O605" s="13" t="str">
        <x:v>Sem informação</x:v>
      </x:c>
      <x:c r="P605" s="26"/>
      <x:c r="Q605" s="13"/>
      <x:c r="R605" s="13"/>
      <x:c r="S605" s="13"/>
      <x:c r="T605" s="13"/>
    </x:row>
    <x:row r="606">
      <x:c r="A606" s="13" t="str">
        <x:v>Matheus Cunha</x:v>
      </x:c>
      <x:c r="B606" s="13" t="n">
        <x:v>2027</x:v>
      </x:c>
      <x:c r="C606" s="13" t="str">
        <x:v>T1</x:v>
      </x:c>
      <x:c r="D606" s="24" t="n">
        <x:v>46477</x:v>
      </x:c>
      <x:c r="E606" s="13" t="str">
        <x:v>Centroavante</x:v>
      </x:c>
      <x:c r="F606" s="13" t="str">
        <x:v>Wolverhampton Wanderers</x:v>
      </x:c>
      <x:c r="G606" s="16"/>
      <x:c r="H606" s="16"/>
      <x:c r="I606" s="16"/>
      <x:c r="J606" s="16"/>
      <x:c r="K606" s="16" t="str">
        <x:f>IF(COUNT(G606,I606)=0,"",AVERAGE(G606,I606))</x:f>
      </x:c>
      <x:c r="L606" s="16" t="str">
        <x:f>IF(COUNT(H606,J606)=0,"",AVERAGE(H606,J606))</x:f>
      </x:c>
      <x:c r="M606" s="16" t="str">
        <x:f>IF(OR(K606="",L606=""),"",L606-K606)</x:f>
      </x:c>
      <x:c r="N606" s="16" t="str">
        <x:f>IF(AND(A606=A605,ISNUMBER(K606),ISNUMBER(K605)),K606-K605,"")</x:f>
      </x:c>
      <x:c r="O606" s="13" t="str">
        <x:v>Sem informação</x:v>
      </x:c>
      <x:c r="P606" s="26"/>
      <x:c r="Q606" s="13"/>
      <x:c r="R606" s="13"/>
      <x:c r="S606" s="13"/>
      <x:c r="T606" s="13"/>
    </x:row>
    <x:row r="607">
      <x:c r="A607" s="13" t="str">
        <x:v>Matheus Cunha</x:v>
      </x:c>
      <x:c r="B607" s="13" t="n">
        <x:v>2027</x:v>
      </x:c>
      <x:c r="C607" s="13" t="str">
        <x:v>T2</x:v>
      </x:c>
      <x:c r="D607" s="24" t="n">
        <x:v>46568</x:v>
      </x:c>
      <x:c r="E607" s="13" t="str">
        <x:v>Centroavante</x:v>
      </x:c>
      <x:c r="F607" s="13" t="str">
        <x:v>Wolverhampton Wanderers</x:v>
      </x:c>
      <x:c r="G607" s="16"/>
      <x:c r="H607" s="16"/>
      <x:c r="I607" s="16"/>
      <x:c r="J607" s="16"/>
      <x:c r="K607" s="16" t="str">
        <x:f>IF(COUNT(G607,I607)=0,"",AVERAGE(G607,I607))</x:f>
      </x:c>
      <x:c r="L607" s="16" t="str">
        <x:f>IF(COUNT(H607,J607)=0,"",AVERAGE(H607,J607))</x:f>
      </x:c>
      <x:c r="M607" s="16" t="str">
        <x:f>IF(OR(K607="",L607=""),"",L607-K607)</x:f>
      </x:c>
      <x:c r="N607" s="16" t="str">
        <x:f>IF(AND(A607=A606,ISNUMBER(K607),ISNUMBER(K606)),K607-K606,"")</x:f>
      </x:c>
      <x:c r="O607" s="13" t="str">
        <x:v>Sem informação</x:v>
      </x:c>
      <x:c r="P607" s="26"/>
      <x:c r="Q607" s="13"/>
      <x:c r="R607" s="13"/>
      <x:c r="S607" s="13"/>
      <x:c r="T607" s="13"/>
    </x:row>
    <x:row r="608">
      <x:c r="A608" s="13" t="str">
        <x:v>Matheus Cunha</x:v>
      </x:c>
      <x:c r="B608" s="13" t="n">
        <x:v>2027</x:v>
      </x:c>
      <x:c r="C608" s="13" t="str">
        <x:v>T3</x:v>
      </x:c>
      <x:c r="D608" s="24" t="n">
        <x:v>46660</x:v>
      </x:c>
      <x:c r="E608" s="13" t="str">
        <x:v>Centroavante</x:v>
      </x:c>
      <x:c r="F608" s="13" t="str">
        <x:v>Wolverhampton Wanderers</x:v>
      </x:c>
      <x:c r="G608" s="16"/>
      <x:c r="H608" s="16"/>
      <x:c r="I608" s="16"/>
      <x:c r="J608" s="16"/>
      <x:c r="K608" s="16" t="str">
        <x:f>IF(COUNT(G608,I608)=0,"",AVERAGE(G608,I608))</x:f>
      </x:c>
      <x:c r="L608" s="16" t="str">
        <x:f>IF(COUNT(H608,J608)=0,"",AVERAGE(H608,J608))</x:f>
      </x:c>
      <x:c r="M608" s="16" t="str">
        <x:f>IF(OR(K608="",L608=""),"",L608-K608)</x:f>
      </x:c>
      <x:c r="N608" s="16" t="str">
        <x:f>IF(AND(A608=A607,ISNUMBER(K608),ISNUMBER(K607)),K608-K607,"")</x:f>
      </x:c>
      <x:c r="O608" s="13" t="str">
        <x:v>Sem informação</x:v>
      </x:c>
      <x:c r="P608" s="26"/>
      <x:c r="Q608" s="13"/>
      <x:c r="R608" s="13"/>
      <x:c r="S608" s="13"/>
      <x:c r="T608" s="13"/>
    </x:row>
    <x:row r="609">
      <x:c r="A609" s="13" t="str">
        <x:v>Matheus Cunha</x:v>
      </x:c>
      <x:c r="B609" s="13" t="n">
        <x:v>2027</x:v>
      </x:c>
      <x:c r="C609" s="13" t="str">
        <x:v>T4</x:v>
      </x:c>
      <x:c r="D609" s="24" t="n">
        <x:v>46752</x:v>
      </x:c>
      <x:c r="E609" s="13" t="str">
        <x:v>Centroavante</x:v>
      </x:c>
      <x:c r="F609" s="13" t="str">
        <x:v>Wolverhampton Wanderers</x:v>
      </x:c>
      <x:c r="G609" s="16"/>
      <x:c r="H609" s="16"/>
      <x:c r="I609" s="16"/>
      <x:c r="J609" s="16"/>
      <x:c r="K609" s="16" t="str">
        <x:f>IF(COUNT(G609,I609)=0,"",AVERAGE(G609,I609))</x:f>
      </x:c>
      <x:c r="L609" s="16" t="str">
        <x:f>IF(COUNT(H609,J609)=0,"",AVERAGE(H609,J609))</x:f>
      </x:c>
      <x:c r="M609" s="16" t="str">
        <x:f>IF(OR(K609="",L609=""),"",L609-K609)</x:f>
      </x:c>
      <x:c r="N609" s="16" t="str">
        <x:f>IF(AND(A609=A608,ISNUMBER(K609),ISNUMBER(K608)),K609-K608,"")</x:f>
      </x:c>
      <x:c r="O609" s="13" t="str">
        <x:v>Sem informação</x:v>
      </x:c>
      <x:c r="P609" s="26"/>
      <x:c r="Q609" s="13"/>
      <x:c r="R609" s="13"/>
      <x:c r="S609" s="13"/>
      <x:c r="T609" s="13"/>
    </x:row>
    <x:row r="610">
      <x:c r="A610" s="13" t="str">
        <x:v>Matheus Cunha</x:v>
      </x:c>
      <x:c r="B610" s="13" t="n">
        <x:v>2028</x:v>
      </x:c>
      <x:c r="C610" s="13" t="str">
        <x:v>T1</x:v>
      </x:c>
      <x:c r="D610" s="24" t="n">
        <x:v>46843</x:v>
      </x:c>
      <x:c r="E610" s="13" t="str">
        <x:v>Centroavante</x:v>
      </x:c>
      <x:c r="F610" s="13" t="str">
        <x:v>Wolverhampton Wanderers</x:v>
      </x:c>
      <x:c r="G610" s="16"/>
      <x:c r="H610" s="16"/>
      <x:c r="I610" s="16"/>
      <x:c r="J610" s="16"/>
      <x:c r="K610" s="16" t="str">
        <x:f>IF(COUNT(G610,I610)=0,"",AVERAGE(G610,I610))</x:f>
      </x:c>
      <x:c r="L610" s="16" t="str">
        <x:f>IF(COUNT(H610,J610)=0,"",AVERAGE(H610,J610))</x:f>
      </x:c>
      <x:c r="M610" s="16" t="str">
        <x:f>IF(OR(K610="",L610=""),"",L610-K610)</x:f>
      </x:c>
      <x:c r="N610" s="16" t="str">
        <x:f>IF(AND(A610=A609,ISNUMBER(K610),ISNUMBER(K609)),K610-K609,"")</x:f>
      </x:c>
      <x:c r="O610" s="13" t="str">
        <x:v>Sem informação</x:v>
      </x:c>
      <x:c r="P610" s="26"/>
      <x:c r="Q610" s="13"/>
      <x:c r="R610" s="13"/>
      <x:c r="S610" s="13"/>
      <x:c r="T610" s="13"/>
    </x:row>
    <x:row r="611">
      <x:c r="A611" s="13" t="str">
        <x:v>Matheus Cunha</x:v>
      </x:c>
      <x:c r="B611" s="13" t="n">
        <x:v>2028</x:v>
      </x:c>
      <x:c r="C611" s="13" t="str">
        <x:v>T2</x:v>
      </x:c>
      <x:c r="D611" s="24" t="n">
        <x:v>46934</x:v>
      </x:c>
      <x:c r="E611" s="13" t="str">
        <x:v>Centroavante</x:v>
      </x:c>
      <x:c r="F611" s="13" t="str">
        <x:v>Wolverhampton Wanderers</x:v>
      </x:c>
      <x:c r="G611" s="16"/>
      <x:c r="H611" s="16"/>
      <x:c r="I611" s="16"/>
      <x:c r="J611" s="16"/>
      <x:c r="K611" s="16" t="str">
        <x:f>IF(COUNT(G611,I611)=0,"",AVERAGE(G611,I611))</x:f>
      </x:c>
      <x:c r="L611" s="16" t="str">
        <x:f>IF(COUNT(H611,J611)=0,"",AVERAGE(H611,J611))</x:f>
      </x:c>
      <x:c r="M611" s="16" t="str">
        <x:f>IF(OR(K611="",L611=""),"",L611-K611)</x:f>
      </x:c>
      <x:c r="N611" s="16" t="str">
        <x:f>IF(AND(A611=A610,ISNUMBER(K611),ISNUMBER(K610)),K611-K610,"")</x:f>
      </x:c>
      <x:c r="O611" s="13" t="str">
        <x:v>Sem informação</x:v>
      </x:c>
      <x:c r="P611" s="26"/>
      <x:c r="Q611" s="13"/>
      <x:c r="R611" s="13"/>
      <x:c r="S611" s="13"/>
      <x:c r="T611" s="13"/>
    </x:row>
    <x:row r="612">
      <x:c r="A612" s="13" t="str">
        <x:v>Matheus Cunha</x:v>
      </x:c>
      <x:c r="B612" s="13" t="n">
        <x:v>2028</x:v>
      </x:c>
      <x:c r="C612" s="13" t="str">
        <x:v>T3</x:v>
      </x:c>
      <x:c r="D612" s="24" t="n">
        <x:v>47026</x:v>
      </x:c>
      <x:c r="E612" s="13" t="str">
        <x:v>Centroavante</x:v>
      </x:c>
      <x:c r="F612" s="13" t="str">
        <x:v>Wolverhampton Wanderers</x:v>
      </x:c>
      <x:c r="G612" s="16"/>
      <x:c r="H612" s="16"/>
      <x:c r="I612" s="16"/>
      <x:c r="J612" s="16"/>
      <x:c r="K612" s="16" t="str">
        <x:f>IF(COUNT(G612,I612)=0,"",AVERAGE(G612,I612))</x:f>
      </x:c>
      <x:c r="L612" s="16" t="str">
        <x:f>IF(COUNT(H612,J612)=0,"",AVERAGE(H612,J612))</x:f>
      </x:c>
      <x:c r="M612" s="16" t="str">
        <x:f>IF(OR(K612="",L612=""),"",L612-K612)</x:f>
      </x:c>
      <x:c r="N612" s="16" t="str">
        <x:f>IF(AND(A612=A611,ISNUMBER(K612),ISNUMBER(K611)),K612-K611,"")</x:f>
      </x:c>
      <x:c r="O612" s="13" t="str">
        <x:v>Sem informação</x:v>
      </x:c>
      <x:c r="P612" s="26"/>
      <x:c r="Q612" s="13"/>
      <x:c r="R612" s="13"/>
      <x:c r="S612" s="13"/>
      <x:c r="T612" s="13"/>
    </x:row>
    <x:row r="613">
      <x:c r="A613" s="13" t="str">
        <x:v>Matheus Cunha</x:v>
      </x:c>
      <x:c r="B613" s="13" t="n">
        <x:v>2028</x:v>
      </x:c>
      <x:c r="C613" s="13" t="str">
        <x:v>T4</x:v>
      </x:c>
      <x:c r="D613" s="24" t="n">
        <x:v>47118</x:v>
      </x:c>
      <x:c r="E613" s="13" t="str">
        <x:v>Centroavante</x:v>
      </x:c>
      <x:c r="F613" s="13" t="str">
        <x:v>Wolverhampton Wanderers</x:v>
      </x:c>
      <x:c r="G613" s="16"/>
      <x:c r="H613" s="16"/>
      <x:c r="I613" s="16"/>
      <x:c r="J613" s="16"/>
      <x:c r="K613" s="16" t="str">
        <x:f>IF(COUNT(G613,I613)=0,"",AVERAGE(G613,I613))</x:f>
      </x:c>
      <x:c r="L613" s="16" t="str">
        <x:f>IF(COUNT(H613,J613)=0,"",AVERAGE(H613,J613))</x:f>
      </x:c>
      <x:c r="M613" s="16" t="str">
        <x:f>IF(OR(K613="",L613=""),"",L613-K613)</x:f>
      </x:c>
      <x:c r="N613" s="16" t="str">
        <x:f>IF(AND(A613=A612,ISNUMBER(K613),ISNUMBER(K612)),K613-K612,"")</x:f>
      </x:c>
      <x:c r="O613" s="13" t="str">
        <x:v>Sem informação</x:v>
      </x:c>
      <x:c r="P613" s="26"/>
      <x:c r="Q613" s="13"/>
      <x:c r="R613" s="13"/>
      <x:c r="S613" s="13"/>
      <x:c r="T613" s="13"/>
    </x:row>
    <x:row r="614">
      <x:c r="A614" s="13" t="str">
        <x:v>Matheus Cunha</x:v>
      </x:c>
      <x:c r="B614" s="13" t="n">
        <x:v>2029</x:v>
      </x:c>
      <x:c r="C614" s="13" t="str">
        <x:v>T1</x:v>
      </x:c>
      <x:c r="D614" s="24" t="n">
        <x:v>47208</x:v>
      </x:c>
      <x:c r="E614" s="13" t="str">
        <x:v>Centroavante</x:v>
      </x:c>
      <x:c r="F614" s="13" t="str">
        <x:v>Wolverhampton Wanderers</x:v>
      </x:c>
      <x:c r="G614" s="16"/>
      <x:c r="H614" s="16"/>
      <x:c r="I614" s="16"/>
      <x:c r="J614" s="16"/>
      <x:c r="K614" s="16" t="str">
        <x:f>IF(COUNT(G614,I614)=0,"",AVERAGE(G614,I614))</x:f>
      </x:c>
      <x:c r="L614" s="16" t="str">
        <x:f>IF(COUNT(H614,J614)=0,"",AVERAGE(H614,J614))</x:f>
      </x:c>
      <x:c r="M614" s="16" t="str">
        <x:f>IF(OR(K614="",L614=""),"",L614-K614)</x:f>
      </x:c>
      <x:c r="N614" s="16" t="str">
        <x:f>IF(AND(A614=A613,ISNUMBER(K614),ISNUMBER(K613)),K614-K613,"")</x:f>
      </x:c>
      <x:c r="O614" s="13" t="str">
        <x:v>Sem informação</x:v>
      </x:c>
      <x:c r="P614" s="26"/>
      <x:c r="Q614" s="13"/>
      <x:c r="R614" s="13"/>
      <x:c r="S614" s="13"/>
      <x:c r="T614" s="13"/>
    </x:row>
    <x:row r="615">
      <x:c r="A615" s="13" t="str">
        <x:v>Matheus Cunha</x:v>
      </x:c>
      <x:c r="B615" s="13" t="n">
        <x:v>2029</x:v>
      </x:c>
      <x:c r="C615" s="13" t="str">
        <x:v>T2</x:v>
      </x:c>
      <x:c r="D615" s="24" t="n">
        <x:v>47299</x:v>
      </x:c>
      <x:c r="E615" s="13" t="str">
        <x:v>Centroavante</x:v>
      </x:c>
      <x:c r="F615" s="13" t="str">
        <x:v>Wolverhampton Wanderers</x:v>
      </x:c>
      <x:c r="G615" s="16"/>
      <x:c r="H615" s="16"/>
      <x:c r="I615" s="16"/>
      <x:c r="J615" s="16"/>
      <x:c r="K615" s="16" t="str">
        <x:f>IF(COUNT(G615,I615)=0,"",AVERAGE(G615,I615))</x:f>
      </x:c>
      <x:c r="L615" s="16" t="str">
        <x:f>IF(COUNT(H615,J615)=0,"",AVERAGE(H615,J615))</x:f>
      </x:c>
      <x:c r="M615" s="16" t="str">
        <x:f>IF(OR(K615="",L615=""),"",L615-K615)</x:f>
      </x:c>
      <x:c r="N615" s="16" t="str">
        <x:f>IF(AND(A615=A614,ISNUMBER(K615),ISNUMBER(K614)),K615-K614,"")</x:f>
      </x:c>
      <x:c r="O615" s="13" t="str">
        <x:v>Sem informação</x:v>
      </x:c>
      <x:c r="P615" s="26"/>
      <x:c r="Q615" s="13"/>
      <x:c r="R615" s="13"/>
      <x:c r="S615" s="13"/>
      <x:c r="T615" s="13"/>
    </x:row>
    <x:row r="616">
      <x:c r="A616" s="13" t="str">
        <x:v>Matheus Cunha</x:v>
      </x:c>
      <x:c r="B616" s="13" t="n">
        <x:v>2029</x:v>
      </x:c>
      <x:c r="C616" s="13" t="str">
        <x:v>T3</x:v>
      </x:c>
      <x:c r="D616" s="24" t="n">
        <x:v>47391</x:v>
      </x:c>
      <x:c r="E616" s="13" t="str">
        <x:v>Centroavante</x:v>
      </x:c>
      <x:c r="F616" s="13" t="str">
        <x:v>Wolverhampton Wanderers</x:v>
      </x:c>
      <x:c r="G616" s="16"/>
      <x:c r="H616" s="16"/>
      <x:c r="I616" s="16"/>
      <x:c r="J616" s="16"/>
      <x:c r="K616" s="16" t="str">
        <x:f>IF(COUNT(G616,I616)=0,"",AVERAGE(G616,I616))</x:f>
      </x:c>
      <x:c r="L616" s="16" t="str">
        <x:f>IF(COUNT(H616,J616)=0,"",AVERAGE(H616,J616))</x:f>
      </x:c>
      <x:c r="M616" s="16" t="str">
        <x:f>IF(OR(K616="",L616=""),"",L616-K616)</x:f>
      </x:c>
      <x:c r="N616" s="16" t="str">
        <x:f>IF(AND(A616=A615,ISNUMBER(K616),ISNUMBER(K615)),K616-K615,"")</x:f>
      </x:c>
      <x:c r="O616" s="13" t="str">
        <x:v>Sem informação</x:v>
      </x:c>
      <x:c r="P616" s="26"/>
      <x:c r="Q616" s="13"/>
      <x:c r="R616" s="13"/>
      <x:c r="S616" s="13"/>
      <x:c r="T616" s="13"/>
    </x:row>
    <x:row r="617">
      <x:c r="A617" s="13" t="str">
        <x:v>Matheus Cunha</x:v>
      </x:c>
      <x:c r="B617" s="13" t="n">
        <x:v>2029</x:v>
      </x:c>
      <x:c r="C617" s="13" t="str">
        <x:v>T4</x:v>
      </x:c>
      <x:c r="D617" s="24" t="n">
        <x:v>47483</x:v>
      </x:c>
      <x:c r="E617" s="13" t="str">
        <x:v>Centroavante</x:v>
      </x:c>
      <x:c r="F617" s="13" t="str">
        <x:v>Wolverhampton Wanderers</x:v>
      </x:c>
      <x:c r="G617" s="16"/>
      <x:c r="H617" s="16"/>
      <x:c r="I617" s="16"/>
      <x:c r="J617" s="16"/>
      <x:c r="K617" s="16" t="str">
        <x:f>IF(COUNT(G617,I617)=0,"",AVERAGE(G617,I617))</x:f>
      </x:c>
      <x:c r="L617" s="16" t="str">
        <x:f>IF(COUNT(H617,J617)=0,"",AVERAGE(H617,J617))</x:f>
      </x:c>
      <x:c r="M617" s="16" t="str">
        <x:f>IF(OR(K617="",L617=""),"",L617-K617)</x:f>
      </x:c>
      <x:c r="N617" s="16" t="str">
        <x:f>IF(AND(A617=A616,ISNUMBER(K617),ISNUMBER(K616)),K617-K616,"")</x:f>
      </x:c>
      <x:c r="O617" s="13" t="str">
        <x:v>Sem informação</x:v>
      </x:c>
      <x:c r="P617" s="26"/>
      <x:c r="Q617" s="13"/>
      <x:c r="R617" s="13"/>
      <x:c r="S617" s="13"/>
      <x:c r="T617" s="13"/>
    </x:row>
    <x:row r="618">
      <x:c r="A618" s="13" t="str">
        <x:v>Matheus Cunha</x:v>
      </x:c>
      <x:c r="B618" s="13" t="n">
        <x:v>2030</x:v>
      </x:c>
      <x:c r="C618" s="13" t="str">
        <x:v>T1</x:v>
      </x:c>
      <x:c r="D618" s="24" t="n">
        <x:v>47573</x:v>
      </x:c>
      <x:c r="E618" s="13" t="str">
        <x:v>Centroavante</x:v>
      </x:c>
      <x:c r="F618" s="13" t="str">
        <x:v>Wolverhampton Wanderers</x:v>
      </x:c>
      <x:c r="G618" s="16"/>
      <x:c r="H618" s="16"/>
      <x:c r="I618" s="16"/>
      <x:c r="J618" s="16"/>
      <x:c r="K618" s="16" t="str">
        <x:f>IF(COUNT(G618,I618)=0,"",AVERAGE(G618,I618))</x:f>
      </x:c>
      <x:c r="L618" s="16" t="str">
        <x:f>IF(COUNT(H618,J618)=0,"",AVERAGE(H618,J618))</x:f>
      </x:c>
      <x:c r="M618" s="16" t="str">
        <x:f>IF(OR(K618="",L618=""),"",L618-K618)</x:f>
      </x:c>
      <x:c r="N618" s="16" t="str">
        <x:f>IF(AND(A618=A617,ISNUMBER(K618),ISNUMBER(K617)),K618-K617,"")</x:f>
      </x:c>
      <x:c r="O618" s="13" t="str">
        <x:v>Sem informação</x:v>
      </x:c>
      <x:c r="P618" s="26"/>
      <x:c r="Q618" s="13"/>
      <x:c r="R618" s="13"/>
      <x:c r="S618" s="13"/>
      <x:c r="T618" s="13"/>
    </x:row>
    <x:row r="619">
      <x:c r="A619" s="13" t="str">
        <x:v>Matheus Cunha</x:v>
      </x:c>
      <x:c r="B619" s="13" t="n">
        <x:v>2030</x:v>
      </x:c>
      <x:c r="C619" s="13" t="str">
        <x:v>T2</x:v>
      </x:c>
      <x:c r="D619" s="24" t="n">
        <x:v>47664</x:v>
      </x:c>
      <x:c r="E619" s="13" t="str">
        <x:v>Centroavante</x:v>
      </x:c>
      <x:c r="F619" s="13" t="str">
        <x:v>Wolverhampton Wanderers</x:v>
      </x:c>
      <x:c r="G619" s="16"/>
      <x:c r="H619" s="16"/>
      <x:c r="I619" s="16"/>
      <x:c r="J619" s="16"/>
      <x:c r="K619" s="16" t="str">
        <x:f>IF(COUNT(G619,I619)=0,"",AVERAGE(G619,I619))</x:f>
      </x:c>
      <x:c r="L619" s="16" t="str">
        <x:f>IF(COUNT(H619,J619)=0,"",AVERAGE(H619,J619))</x:f>
      </x:c>
      <x:c r="M619" s="16" t="str">
        <x:f>IF(OR(K619="",L619=""),"",L619-K619)</x:f>
      </x:c>
      <x:c r="N619" s="16" t="str">
        <x:f>IF(AND(A619=A618,ISNUMBER(K619),ISNUMBER(K618)),K619-K618,"")</x:f>
      </x:c>
      <x:c r="O619" s="13" t="str">
        <x:v>Sem informação</x:v>
      </x:c>
      <x:c r="P619" s="26"/>
      <x:c r="Q619" s="13"/>
      <x:c r="R619" s="13"/>
      <x:c r="S619" s="13"/>
      <x:c r="T619" s="13"/>
    </x:row>
    <x:row r="620">
      <x:c r="A620" s="13" t="str">
        <x:v>Matheus Cunha</x:v>
      </x:c>
      <x:c r="B620" s="13" t="n">
        <x:v>2030</x:v>
      </x:c>
      <x:c r="C620" s="13" t="str">
        <x:v>T3</x:v>
      </x:c>
      <x:c r="D620" s="24" t="n">
        <x:v>47756</x:v>
      </x:c>
      <x:c r="E620" s="13" t="str">
        <x:v>Centroavante</x:v>
      </x:c>
      <x:c r="F620" s="13" t="str">
        <x:v>Wolverhampton Wanderers</x:v>
      </x:c>
      <x:c r="G620" s="16"/>
      <x:c r="H620" s="16"/>
      <x:c r="I620" s="16"/>
      <x:c r="J620" s="16"/>
      <x:c r="K620" s="16" t="str">
        <x:f>IF(COUNT(G620,I620)=0,"",AVERAGE(G620,I620))</x:f>
      </x:c>
      <x:c r="L620" s="16" t="str">
        <x:f>IF(COUNT(H620,J620)=0,"",AVERAGE(H620,J620))</x:f>
      </x:c>
      <x:c r="M620" s="16" t="str">
        <x:f>IF(OR(K620="",L620=""),"",L620-K620)</x:f>
      </x:c>
      <x:c r="N620" s="16" t="str">
        <x:f>IF(AND(A620=A619,ISNUMBER(K620),ISNUMBER(K619)),K620-K619,"")</x:f>
      </x:c>
      <x:c r="O620" s="13" t="str">
        <x:v>Sem informação</x:v>
      </x:c>
      <x:c r="P620" s="26"/>
      <x:c r="Q620" s="13"/>
      <x:c r="R620" s="13"/>
      <x:c r="S620" s="13"/>
      <x:c r="T620" s="13"/>
    </x:row>
    <x:row r="621">
      <x:c r="A621" s="13" t="str">
        <x:v>Matheus Cunha</x:v>
      </x:c>
      <x:c r="B621" s="13" t="n">
        <x:v>2030</x:v>
      </x:c>
      <x:c r="C621" s="13" t="str">
        <x:v>T4</x:v>
      </x:c>
      <x:c r="D621" s="24" t="n">
        <x:v>47848</x:v>
      </x:c>
      <x:c r="E621" s="13" t="str">
        <x:v>Centroavante</x:v>
      </x:c>
      <x:c r="F621" s="13" t="str">
        <x:v>Wolverhampton Wanderers</x:v>
      </x:c>
      <x:c r="G621" s="16"/>
      <x:c r="H621" s="16"/>
      <x:c r="I621" s="16"/>
      <x:c r="J621" s="16"/>
      <x:c r="K621" s="16" t="str">
        <x:f>IF(COUNT(G621,I621)=0,"",AVERAGE(G621,I621))</x:f>
      </x:c>
      <x:c r="L621" s="16" t="str">
        <x:f>IF(COUNT(H621,J621)=0,"",AVERAGE(H621,J621))</x:f>
      </x:c>
      <x:c r="M621" s="16" t="str">
        <x:f>IF(OR(K621="",L621=""),"",L621-K621)</x:f>
      </x:c>
      <x:c r="N621" s="16" t="str">
        <x:f>IF(AND(A621=A620,ISNUMBER(K621),ISNUMBER(K620)),K621-K620,"")</x:f>
      </x:c>
      <x:c r="O621" s="13" t="str">
        <x:v>Sem informação</x:v>
      </x:c>
      <x:c r="P621" s="26"/>
      <x:c r="Q621" s="13"/>
      <x:c r="R621" s="13"/>
      <x:c r="S621" s="13"/>
      <x:c r="T621" s="13"/>
    </x:row>
    <x:row r="622">
      <x:c r="A622" s="13" t="str">
        <x:v>Murillo</x:v>
      </x:c>
      <x:c r="B622" s="13" t="n">
        <x:v>2026</x:v>
      </x:c>
      <x:c r="C622" s="13" t="str">
        <x:v>T1</x:v>
      </x:c>
      <x:c r="D622" s="24" t="n">
        <x:v>46112</x:v>
      </x:c>
      <x:c r="E622" s="13" t="str">
        <x:v>Zagueiro</x:v>
      </x:c>
      <x:c r="F622" s="13" t="str">
        <x:v>Nottingham Forest</x:v>
      </x:c>
      <x:c r="G622" s="16"/>
      <x:c r="H622" s="16"/>
      <x:c r="I622" s="16"/>
      <x:c r="J622" s="16"/>
      <x:c r="K622" s="16" t="str">
        <x:f>IF(COUNT(G622,I622)=0,"",AVERAGE(G622,I622))</x:f>
      </x:c>
      <x:c r="L622" s="16" t="str">
        <x:f>IF(COUNT(H622,J622)=0,"",AVERAGE(H622,J622))</x:f>
      </x:c>
      <x:c r="M622" s="16" t="str">
        <x:f>IF(OR(K622="",L622=""),"",L622-K622)</x:f>
      </x:c>
      <x:c r="N622" s="16" t="str">
        <x:f>IF(AND(A622=A621,ISNUMBER(K622),ISNUMBER(K621)),K622-K621,"")</x:f>
      </x:c>
      <x:c r="O622" s="13" t="str">
        <x:v>Sem informação</x:v>
      </x:c>
      <x:c r="P622" s="26"/>
      <x:c r="Q622" s="13"/>
      <x:c r="R622" s="13"/>
      <x:c r="S622" s="13"/>
      <x:c r="T622" s="13"/>
    </x:row>
    <x:row r="623">
      <x:c r="A623" s="13" t="str">
        <x:v>Murillo</x:v>
      </x:c>
      <x:c r="B623" s="13" t="n">
        <x:v>2026</x:v>
      </x:c>
      <x:c r="C623" s="13" t="str">
        <x:v>T2</x:v>
      </x:c>
      <x:c r="D623" s="24" t="n">
        <x:v>46203</x:v>
      </x:c>
      <x:c r="E623" s="13" t="str">
        <x:v>Zagueiro</x:v>
      </x:c>
      <x:c r="F623" s="13" t="str">
        <x:v>Nottingham Forest</x:v>
      </x:c>
      <x:c r="G623" s="16"/>
      <x:c r="H623" s="16"/>
      <x:c r="I623" s="16"/>
      <x:c r="J623" s="16"/>
      <x:c r="K623" s="16" t="str">
        <x:f>IF(COUNT(G623,I623)=0,"",AVERAGE(G623,I623))</x:f>
      </x:c>
      <x:c r="L623" s="16" t="str">
        <x:f>IF(COUNT(H623,J623)=0,"",AVERAGE(H623,J623))</x:f>
      </x:c>
      <x:c r="M623" s="16" t="str">
        <x:f>IF(OR(K623="",L623=""),"",L623-K623)</x:f>
      </x:c>
      <x:c r="N623" s="16" t="str">
        <x:f>IF(AND(A623=A622,ISNUMBER(K623),ISNUMBER(K622)),K623-K622,"")</x:f>
      </x:c>
      <x:c r="O623" s="13" t="str">
        <x:v>Sem informação</x:v>
      </x:c>
      <x:c r="P623" s="26"/>
      <x:c r="Q623" s="13"/>
      <x:c r="R623" s="13"/>
      <x:c r="S623" s="13"/>
      <x:c r="T623" s="13"/>
    </x:row>
    <x:row r="624">
      <x:c r="A624" s="13" t="str">
        <x:v>Murillo</x:v>
      </x:c>
      <x:c r="B624" s="13" t="n">
        <x:v>2026</x:v>
      </x:c>
      <x:c r="C624" s="13" t="str">
        <x:v>T3</x:v>
      </x:c>
      <x:c r="D624" s="24" t="n">
        <x:v>46295</x:v>
      </x:c>
      <x:c r="E624" s="13" t="str">
        <x:v>Zagueiro</x:v>
      </x:c>
      <x:c r="F624" s="13" t="str">
        <x:v>Nottingham Forest</x:v>
      </x:c>
      <x:c r="G624" s="16"/>
      <x:c r="H624" s="16"/>
      <x:c r="I624" s="16"/>
      <x:c r="J624" s="16"/>
      <x:c r="K624" s="16" t="str">
        <x:f>IF(COUNT(G624,I624)=0,"",AVERAGE(G624,I624))</x:f>
      </x:c>
      <x:c r="L624" s="16" t="str">
        <x:f>IF(COUNT(H624,J624)=0,"",AVERAGE(H624,J624))</x:f>
      </x:c>
      <x:c r="M624" s="16" t="str">
        <x:f>IF(OR(K624="",L624=""),"",L624-K624)</x:f>
      </x:c>
      <x:c r="N624" s="16" t="str">
        <x:f>IF(AND(A624=A623,ISNUMBER(K624),ISNUMBER(K623)),K624-K623,"")</x:f>
      </x:c>
      <x:c r="O624" s="13" t="str">
        <x:v>Sem informação</x:v>
      </x:c>
      <x:c r="P624" s="26"/>
      <x:c r="Q624" s="13"/>
      <x:c r="R624" s="13"/>
      <x:c r="S624" s="13"/>
      <x:c r="T624" s="13"/>
    </x:row>
    <x:row r="625">
      <x:c r="A625" s="13" t="str">
        <x:v>Murillo</x:v>
      </x:c>
      <x:c r="B625" s="13" t="n">
        <x:v>2026</x:v>
      </x:c>
      <x:c r="C625" s="13" t="str">
        <x:v>T4</x:v>
      </x:c>
      <x:c r="D625" s="24" t="n">
        <x:v>46387</x:v>
      </x:c>
      <x:c r="E625" s="13" t="str">
        <x:v>Zagueiro</x:v>
      </x:c>
      <x:c r="F625" s="13" t="str">
        <x:v>Nottingham Forest</x:v>
      </x:c>
      <x:c r="G625" s="16"/>
      <x:c r="H625" s="16"/>
      <x:c r="I625" s="16"/>
      <x:c r="J625" s="16"/>
      <x:c r="K625" s="16" t="str">
        <x:f>IF(COUNT(G625,I625)=0,"",AVERAGE(G625,I625))</x:f>
      </x:c>
      <x:c r="L625" s="16" t="str">
        <x:f>IF(COUNT(H625,J625)=0,"",AVERAGE(H625,J625))</x:f>
      </x:c>
      <x:c r="M625" s="16" t="str">
        <x:f>IF(OR(K625="",L625=""),"",L625-K625)</x:f>
      </x:c>
      <x:c r="N625" s="16" t="str">
        <x:f>IF(AND(A625=A624,ISNUMBER(K625),ISNUMBER(K624)),K625-K624,"")</x:f>
      </x:c>
      <x:c r="O625" s="13" t="str">
        <x:v>Sem informação</x:v>
      </x:c>
      <x:c r="P625" s="26"/>
      <x:c r="Q625" s="13"/>
      <x:c r="R625" s="13"/>
      <x:c r="S625" s="13"/>
      <x:c r="T625" s="13"/>
    </x:row>
    <x:row r="626">
      <x:c r="A626" s="13" t="str">
        <x:v>Murillo</x:v>
      </x:c>
      <x:c r="B626" s="13" t="n">
        <x:v>2027</x:v>
      </x:c>
      <x:c r="C626" s="13" t="str">
        <x:v>T1</x:v>
      </x:c>
      <x:c r="D626" s="24" t="n">
        <x:v>46477</x:v>
      </x:c>
      <x:c r="E626" s="13" t="str">
        <x:v>Zagueiro</x:v>
      </x:c>
      <x:c r="F626" s="13" t="str">
        <x:v>Nottingham Forest</x:v>
      </x:c>
      <x:c r="G626" s="16"/>
      <x:c r="H626" s="16"/>
      <x:c r="I626" s="16"/>
      <x:c r="J626" s="16"/>
      <x:c r="K626" s="16" t="str">
        <x:f>IF(COUNT(G626,I626)=0,"",AVERAGE(G626,I626))</x:f>
      </x:c>
      <x:c r="L626" s="16" t="str">
        <x:f>IF(COUNT(H626,J626)=0,"",AVERAGE(H626,J626))</x:f>
      </x:c>
      <x:c r="M626" s="16" t="str">
        <x:f>IF(OR(K626="",L626=""),"",L626-K626)</x:f>
      </x:c>
      <x:c r="N626" s="16" t="str">
        <x:f>IF(AND(A626=A625,ISNUMBER(K626),ISNUMBER(K625)),K626-K625,"")</x:f>
      </x:c>
      <x:c r="O626" s="13" t="str">
        <x:v>Sem informação</x:v>
      </x:c>
      <x:c r="P626" s="26"/>
      <x:c r="Q626" s="13"/>
      <x:c r="R626" s="13"/>
      <x:c r="S626" s="13"/>
      <x:c r="T626" s="13"/>
    </x:row>
    <x:row r="627">
      <x:c r="A627" s="13" t="str">
        <x:v>Murillo</x:v>
      </x:c>
      <x:c r="B627" s="13" t="n">
        <x:v>2027</x:v>
      </x:c>
      <x:c r="C627" s="13" t="str">
        <x:v>T2</x:v>
      </x:c>
      <x:c r="D627" s="24" t="n">
        <x:v>46568</x:v>
      </x:c>
      <x:c r="E627" s="13" t="str">
        <x:v>Zagueiro</x:v>
      </x:c>
      <x:c r="F627" s="13" t="str">
        <x:v>Nottingham Forest</x:v>
      </x:c>
      <x:c r="G627" s="16"/>
      <x:c r="H627" s="16"/>
      <x:c r="I627" s="16"/>
      <x:c r="J627" s="16"/>
      <x:c r="K627" s="16" t="str">
        <x:f>IF(COUNT(G627,I627)=0,"",AVERAGE(G627,I627))</x:f>
      </x:c>
      <x:c r="L627" s="16" t="str">
        <x:f>IF(COUNT(H627,J627)=0,"",AVERAGE(H627,J627))</x:f>
      </x:c>
      <x:c r="M627" s="16" t="str">
        <x:f>IF(OR(K627="",L627=""),"",L627-K627)</x:f>
      </x:c>
      <x:c r="N627" s="16" t="str">
        <x:f>IF(AND(A627=A626,ISNUMBER(K627),ISNUMBER(K626)),K627-K626,"")</x:f>
      </x:c>
      <x:c r="O627" s="13" t="str">
        <x:v>Sem informação</x:v>
      </x:c>
      <x:c r="P627" s="26"/>
      <x:c r="Q627" s="13"/>
      <x:c r="R627" s="13"/>
      <x:c r="S627" s="13"/>
      <x:c r="T627" s="13"/>
    </x:row>
    <x:row r="628">
      <x:c r="A628" s="13" t="str">
        <x:v>Murillo</x:v>
      </x:c>
      <x:c r="B628" s="13" t="n">
        <x:v>2027</x:v>
      </x:c>
      <x:c r="C628" s="13" t="str">
        <x:v>T3</x:v>
      </x:c>
      <x:c r="D628" s="24" t="n">
        <x:v>46660</x:v>
      </x:c>
      <x:c r="E628" s="13" t="str">
        <x:v>Zagueiro</x:v>
      </x:c>
      <x:c r="F628" s="13" t="str">
        <x:v>Nottingham Forest</x:v>
      </x:c>
      <x:c r="G628" s="16"/>
      <x:c r="H628" s="16"/>
      <x:c r="I628" s="16"/>
      <x:c r="J628" s="16"/>
      <x:c r="K628" s="16" t="str">
        <x:f>IF(COUNT(G628,I628)=0,"",AVERAGE(G628,I628))</x:f>
      </x:c>
      <x:c r="L628" s="16" t="str">
        <x:f>IF(COUNT(H628,J628)=0,"",AVERAGE(H628,J628))</x:f>
      </x:c>
      <x:c r="M628" s="16" t="str">
        <x:f>IF(OR(K628="",L628=""),"",L628-K628)</x:f>
      </x:c>
      <x:c r="N628" s="16" t="str">
        <x:f>IF(AND(A628=A627,ISNUMBER(K628),ISNUMBER(K627)),K628-K627,"")</x:f>
      </x:c>
      <x:c r="O628" s="13" t="str">
        <x:v>Sem informação</x:v>
      </x:c>
      <x:c r="P628" s="26"/>
      <x:c r="Q628" s="13"/>
      <x:c r="R628" s="13"/>
      <x:c r="S628" s="13"/>
      <x:c r="T628" s="13"/>
    </x:row>
    <x:row r="629">
      <x:c r="A629" s="13" t="str">
        <x:v>Murillo</x:v>
      </x:c>
      <x:c r="B629" s="13" t="n">
        <x:v>2027</x:v>
      </x:c>
      <x:c r="C629" s="13" t="str">
        <x:v>T4</x:v>
      </x:c>
      <x:c r="D629" s="24" t="n">
        <x:v>46752</x:v>
      </x:c>
      <x:c r="E629" s="13" t="str">
        <x:v>Zagueiro</x:v>
      </x:c>
      <x:c r="F629" s="13" t="str">
        <x:v>Nottingham Forest</x:v>
      </x:c>
      <x:c r="G629" s="16"/>
      <x:c r="H629" s="16"/>
      <x:c r="I629" s="16"/>
      <x:c r="J629" s="16"/>
      <x:c r="K629" s="16" t="str">
        <x:f>IF(COUNT(G629,I629)=0,"",AVERAGE(G629,I629))</x:f>
      </x:c>
      <x:c r="L629" s="16" t="str">
        <x:f>IF(COUNT(H629,J629)=0,"",AVERAGE(H629,J629))</x:f>
      </x:c>
      <x:c r="M629" s="16" t="str">
        <x:f>IF(OR(K629="",L629=""),"",L629-K629)</x:f>
      </x:c>
      <x:c r="N629" s="16" t="str">
        <x:f>IF(AND(A629=A628,ISNUMBER(K629),ISNUMBER(K628)),K629-K628,"")</x:f>
      </x:c>
      <x:c r="O629" s="13" t="str">
        <x:v>Sem informação</x:v>
      </x:c>
      <x:c r="P629" s="26"/>
      <x:c r="Q629" s="13"/>
      <x:c r="R629" s="13"/>
      <x:c r="S629" s="13"/>
      <x:c r="T629" s="13"/>
    </x:row>
    <x:row r="630">
      <x:c r="A630" s="13" t="str">
        <x:v>Murillo</x:v>
      </x:c>
      <x:c r="B630" s="13" t="n">
        <x:v>2028</x:v>
      </x:c>
      <x:c r="C630" s="13" t="str">
        <x:v>T1</x:v>
      </x:c>
      <x:c r="D630" s="24" t="n">
        <x:v>46843</x:v>
      </x:c>
      <x:c r="E630" s="13" t="str">
        <x:v>Zagueiro</x:v>
      </x:c>
      <x:c r="F630" s="13" t="str">
        <x:v>Nottingham Forest</x:v>
      </x:c>
      <x:c r="G630" s="16"/>
      <x:c r="H630" s="16"/>
      <x:c r="I630" s="16"/>
      <x:c r="J630" s="16"/>
      <x:c r="K630" s="16" t="str">
        <x:f>IF(COUNT(G630,I630)=0,"",AVERAGE(G630,I630))</x:f>
      </x:c>
      <x:c r="L630" s="16" t="str">
        <x:f>IF(COUNT(H630,J630)=0,"",AVERAGE(H630,J630))</x:f>
      </x:c>
      <x:c r="M630" s="16" t="str">
        <x:f>IF(OR(K630="",L630=""),"",L630-K630)</x:f>
      </x:c>
      <x:c r="N630" s="16" t="str">
        <x:f>IF(AND(A630=A629,ISNUMBER(K630),ISNUMBER(K629)),K630-K629,"")</x:f>
      </x:c>
      <x:c r="O630" s="13" t="str">
        <x:v>Sem informação</x:v>
      </x:c>
      <x:c r="P630" s="26"/>
      <x:c r="Q630" s="13"/>
      <x:c r="R630" s="13"/>
      <x:c r="S630" s="13"/>
      <x:c r="T630" s="13"/>
    </x:row>
    <x:row r="631">
      <x:c r="A631" s="13" t="str">
        <x:v>Murillo</x:v>
      </x:c>
      <x:c r="B631" s="13" t="n">
        <x:v>2028</x:v>
      </x:c>
      <x:c r="C631" s="13" t="str">
        <x:v>T2</x:v>
      </x:c>
      <x:c r="D631" s="24" t="n">
        <x:v>46934</x:v>
      </x:c>
      <x:c r="E631" s="13" t="str">
        <x:v>Zagueiro</x:v>
      </x:c>
      <x:c r="F631" s="13" t="str">
        <x:v>Nottingham Forest</x:v>
      </x:c>
      <x:c r="G631" s="16"/>
      <x:c r="H631" s="16"/>
      <x:c r="I631" s="16"/>
      <x:c r="J631" s="16"/>
      <x:c r="K631" s="16" t="str">
        <x:f>IF(COUNT(G631,I631)=0,"",AVERAGE(G631,I631))</x:f>
      </x:c>
      <x:c r="L631" s="16" t="str">
        <x:f>IF(COUNT(H631,J631)=0,"",AVERAGE(H631,J631))</x:f>
      </x:c>
      <x:c r="M631" s="16" t="str">
        <x:f>IF(OR(K631="",L631=""),"",L631-K631)</x:f>
      </x:c>
      <x:c r="N631" s="16" t="str">
        <x:f>IF(AND(A631=A630,ISNUMBER(K631),ISNUMBER(K630)),K631-K630,"")</x:f>
      </x:c>
      <x:c r="O631" s="13" t="str">
        <x:v>Sem informação</x:v>
      </x:c>
      <x:c r="P631" s="26"/>
      <x:c r="Q631" s="13"/>
      <x:c r="R631" s="13"/>
      <x:c r="S631" s="13"/>
      <x:c r="T631" s="13"/>
    </x:row>
    <x:row r="632">
      <x:c r="A632" s="13" t="str">
        <x:v>Murillo</x:v>
      </x:c>
      <x:c r="B632" s="13" t="n">
        <x:v>2028</x:v>
      </x:c>
      <x:c r="C632" s="13" t="str">
        <x:v>T3</x:v>
      </x:c>
      <x:c r="D632" s="24" t="n">
        <x:v>47026</x:v>
      </x:c>
      <x:c r="E632" s="13" t="str">
        <x:v>Zagueiro</x:v>
      </x:c>
      <x:c r="F632" s="13" t="str">
        <x:v>Nottingham Forest</x:v>
      </x:c>
      <x:c r="G632" s="16"/>
      <x:c r="H632" s="16"/>
      <x:c r="I632" s="16"/>
      <x:c r="J632" s="16"/>
      <x:c r="K632" s="16" t="str">
        <x:f>IF(COUNT(G632,I632)=0,"",AVERAGE(G632,I632))</x:f>
      </x:c>
      <x:c r="L632" s="16" t="str">
        <x:f>IF(COUNT(H632,J632)=0,"",AVERAGE(H632,J632))</x:f>
      </x:c>
      <x:c r="M632" s="16" t="str">
        <x:f>IF(OR(K632="",L632=""),"",L632-K632)</x:f>
      </x:c>
      <x:c r="N632" s="16" t="str">
        <x:f>IF(AND(A632=A631,ISNUMBER(K632),ISNUMBER(K631)),K632-K631,"")</x:f>
      </x:c>
      <x:c r="O632" s="13" t="str">
        <x:v>Sem informação</x:v>
      </x:c>
      <x:c r="P632" s="26"/>
      <x:c r="Q632" s="13"/>
      <x:c r="R632" s="13"/>
      <x:c r="S632" s="13"/>
      <x:c r="T632" s="13"/>
    </x:row>
    <x:row r="633">
      <x:c r="A633" s="13" t="str">
        <x:v>Murillo</x:v>
      </x:c>
      <x:c r="B633" s="13" t="n">
        <x:v>2028</x:v>
      </x:c>
      <x:c r="C633" s="13" t="str">
        <x:v>T4</x:v>
      </x:c>
      <x:c r="D633" s="24" t="n">
        <x:v>47118</x:v>
      </x:c>
      <x:c r="E633" s="13" t="str">
        <x:v>Zagueiro</x:v>
      </x:c>
      <x:c r="F633" s="13" t="str">
        <x:v>Nottingham Forest</x:v>
      </x:c>
      <x:c r="G633" s="16"/>
      <x:c r="H633" s="16"/>
      <x:c r="I633" s="16"/>
      <x:c r="J633" s="16"/>
      <x:c r="K633" s="16" t="str">
        <x:f>IF(COUNT(G633,I633)=0,"",AVERAGE(G633,I633))</x:f>
      </x:c>
      <x:c r="L633" s="16" t="str">
        <x:f>IF(COUNT(H633,J633)=0,"",AVERAGE(H633,J633))</x:f>
      </x:c>
      <x:c r="M633" s="16" t="str">
        <x:f>IF(OR(K633="",L633=""),"",L633-K633)</x:f>
      </x:c>
      <x:c r="N633" s="16" t="str">
        <x:f>IF(AND(A633=A632,ISNUMBER(K633),ISNUMBER(K632)),K633-K632,"")</x:f>
      </x:c>
      <x:c r="O633" s="13" t="str">
        <x:v>Sem informação</x:v>
      </x:c>
      <x:c r="P633" s="26"/>
      <x:c r="Q633" s="13"/>
      <x:c r="R633" s="13"/>
      <x:c r="S633" s="13"/>
      <x:c r="T633" s="13"/>
    </x:row>
    <x:row r="634">
      <x:c r="A634" s="13" t="str">
        <x:v>Murillo</x:v>
      </x:c>
      <x:c r="B634" s="13" t="n">
        <x:v>2029</x:v>
      </x:c>
      <x:c r="C634" s="13" t="str">
        <x:v>T1</x:v>
      </x:c>
      <x:c r="D634" s="24" t="n">
        <x:v>47208</x:v>
      </x:c>
      <x:c r="E634" s="13" t="str">
        <x:v>Zagueiro</x:v>
      </x:c>
      <x:c r="F634" s="13" t="str">
        <x:v>Nottingham Forest</x:v>
      </x:c>
      <x:c r="G634" s="16"/>
      <x:c r="H634" s="16"/>
      <x:c r="I634" s="16"/>
      <x:c r="J634" s="16"/>
      <x:c r="K634" s="16" t="str">
        <x:f>IF(COUNT(G634,I634)=0,"",AVERAGE(G634,I634))</x:f>
      </x:c>
      <x:c r="L634" s="16" t="str">
        <x:f>IF(COUNT(H634,J634)=0,"",AVERAGE(H634,J634))</x:f>
      </x:c>
      <x:c r="M634" s="16" t="str">
        <x:f>IF(OR(K634="",L634=""),"",L634-K634)</x:f>
      </x:c>
      <x:c r="N634" s="16" t="str">
        <x:f>IF(AND(A634=A633,ISNUMBER(K634),ISNUMBER(K633)),K634-K633,"")</x:f>
      </x:c>
      <x:c r="O634" s="13" t="str">
        <x:v>Sem informação</x:v>
      </x:c>
      <x:c r="P634" s="26"/>
      <x:c r="Q634" s="13"/>
      <x:c r="R634" s="13"/>
      <x:c r="S634" s="13"/>
      <x:c r="T634" s="13"/>
    </x:row>
    <x:row r="635">
      <x:c r="A635" s="13" t="str">
        <x:v>Murillo</x:v>
      </x:c>
      <x:c r="B635" s="13" t="n">
        <x:v>2029</x:v>
      </x:c>
      <x:c r="C635" s="13" t="str">
        <x:v>T2</x:v>
      </x:c>
      <x:c r="D635" s="24" t="n">
        <x:v>47299</x:v>
      </x:c>
      <x:c r="E635" s="13" t="str">
        <x:v>Zagueiro</x:v>
      </x:c>
      <x:c r="F635" s="13" t="str">
        <x:v>Nottingham Forest</x:v>
      </x:c>
      <x:c r="G635" s="16"/>
      <x:c r="H635" s="16"/>
      <x:c r="I635" s="16"/>
      <x:c r="J635" s="16"/>
      <x:c r="K635" s="16" t="str">
        <x:f>IF(COUNT(G635,I635)=0,"",AVERAGE(G635,I635))</x:f>
      </x:c>
      <x:c r="L635" s="16" t="str">
        <x:f>IF(COUNT(H635,J635)=0,"",AVERAGE(H635,J635))</x:f>
      </x:c>
      <x:c r="M635" s="16" t="str">
        <x:f>IF(OR(K635="",L635=""),"",L635-K635)</x:f>
      </x:c>
      <x:c r="N635" s="16" t="str">
        <x:f>IF(AND(A635=A634,ISNUMBER(K635),ISNUMBER(K634)),K635-K634,"")</x:f>
      </x:c>
      <x:c r="O635" s="13" t="str">
        <x:v>Sem informação</x:v>
      </x:c>
      <x:c r="P635" s="26"/>
      <x:c r="Q635" s="13"/>
      <x:c r="R635" s="13"/>
      <x:c r="S635" s="13"/>
      <x:c r="T635" s="13"/>
    </x:row>
    <x:row r="636">
      <x:c r="A636" s="13" t="str">
        <x:v>Murillo</x:v>
      </x:c>
      <x:c r="B636" s="13" t="n">
        <x:v>2029</x:v>
      </x:c>
      <x:c r="C636" s="13" t="str">
        <x:v>T3</x:v>
      </x:c>
      <x:c r="D636" s="24" t="n">
        <x:v>47391</x:v>
      </x:c>
      <x:c r="E636" s="13" t="str">
        <x:v>Zagueiro</x:v>
      </x:c>
      <x:c r="F636" s="13" t="str">
        <x:v>Nottingham Forest</x:v>
      </x:c>
      <x:c r="G636" s="16"/>
      <x:c r="H636" s="16"/>
      <x:c r="I636" s="16"/>
      <x:c r="J636" s="16"/>
      <x:c r="K636" s="16" t="str">
        <x:f>IF(COUNT(G636,I636)=0,"",AVERAGE(G636,I636))</x:f>
      </x:c>
      <x:c r="L636" s="16" t="str">
        <x:f>IF(COUNT(H636,J636)=0,"",AVERAGE(H636,J636))</x:f>
      </x:c>
      <x:c r="M636" s="16" t="str">
        <x:f>IF(OR(K636="",L636=""),"",L636-K636)</x:f>
      </x:c>
      <x:c r="N636" s="16" t="str">
        <x:f>IF(AND(A636=A635,ISNUMBER(K636),ISNUMBER(K635)),K636-K635,"")</x:f>
      </x:c>
      <x:c r="O636" s="13" t="str">
        <x:v>Sem informação</x:v>
      </x:c>
      <x:c r="P636" s="26"/>
      <x:c r="Q636" s="13"/>
      <x:c r="R636" s="13"/>
      <x:c r="S636" s="13"/>
      <x:c r="T636" s="13"/>
    </x:row>
    <x:row r="637">
      <x:c r="A637" s="13" t="str">
        <x:v>Murillo</x:v>
      </x:c>
      <x:c r="B637" s="13" t="n">
        <x:v>2029</x:v>
      </x:c>
      <x:c r="C637" s="13" t="str">
        <x:v>T4</x:v>
      </x:c>
      <x:c r="D637" s="24" t="n">
        <x:v>47483</x:v>
      </x:c>
      <x:c r="E637" s="13" t="str">
        <x:v>Zagueiro</x:v>
      </x:c>
      <x:c r="F637" s="13" t="str">
        <x:v>Nottingham Forest</x:v>
      </x:c>
      <x:c r="G637" s="16"/>
      <x:c r="H637" s="16"/>
      <x:c r="I637" s="16"/>
      <x:c r="J637" s="16"/>
      <x:c r="K637" s="16" t="str">
        <x:f>IF(COUNT(G637,I637)=0,"",AVERAGE(G637,I637))</x:f>
      </x:c>
      <x:c r="L637" s="16" t="str">
        <x:f>IF(COUNT(H637,J637)=0,"",AVERAGE(H637,J637))</x:f>
      </x:c>
      <x:c r="M637" s="16" t="str">
        <x:f>IF(OR(K637="",L637=""),"",L637-K637)</x:f>
      </x:c>
      <x:c r="N637" s="16" t="str">
        <x:f>IF(AND(A637=A636,ISNUMBER(K637),ISNUMBER(K636)),K637-K636,"")</x:f>
      </x:c>
      <x:c r="O637" s="13" t="str">
        <x:v>Sem informação</x:v>
      </x:c>
      <x:c r="P637" s="26"/>
      <x:c r="Q637" s="13"/>
      <x:c r="R637" s="13"/>
      <x:c r="S637" s="13"/>
      <x:c r="T637" s="13"/>
    </x:row>
    <x:row r="638">
      <x:c r="A638" s="13" t="str">
        <x:v>Murillo</x:v>
      </x:c>
      <x:c r="B638" s="13" t="n">
        <x:v>2030</x:v>
      </x:c>
      <x:c r="C638" s="13" t="str">
        <x:v>T1</x:v>
      </x:c>
      <x:c r="D638" s="24" t="n">
        <x:v>47573</x:v>
      </x:c>
      <x:c r="E638" s="13" t="str">
        <x:v>Zagueiro</x:v>
      </x:c>
      <x:c r="F638" s="13" t="str">
        <x:v>Nottingham Forest</x:v>
      </x:c>
      <x:c r="G638" s="16"/>
      <x:c r="H638" s="16"/>
      <x:c r="I638" s="16"/>
      <x:c r="J638" s="16"/>
      <x:c r="K638" s="16" t="str">
        <x:f>IF(COUNT(G638,I638)=0,"",AVERAGE(G638,I638))</x:f>
      </x:c>
      <x:c r="L638" s="16" t="str">
        <x:f>IF(COUNT(H638,J638)=0,"",AVERAGE(H638,J638))</x:f>
      </x:c>
      <x:c r="M638" s="16" t="str">
        <x:f>IF(OR(K638="",L638=""),"",L638-K638)</x:f>
      </x:c>
      <x:c r="N638" s="16" t="str">
        <x:f>IF(AND(A638=A637,ISNUMBER(K638),ISNUMBER(K637)),K638-K637,"")</x:f>
      </x:c>
      <x:c r="O638" s="13" t="str">
        <x:v>Sem informação</x:v>
      </x:c>
      <x:c r="P638" s="26"/>
      <x:c r="Q638" s="13"/>
      <x:c r="R638" s="13"/>
      <x:c r="S638" s="13"/>
      <x:c r="T638" s="13"/>
    </x:row>
    <x:row r="639">
      <x:c r="A639" s="13" t="str">
        <x:v>Murillo</x:v>
      </x:c>
      <x:c r="B639" s="13" t="n">
        <x:v>2030</x:v>
      </x:c>
      <x:c r="C639" s="13" t="str">
        <x:v>T2</x:v>
      </x:c>
      <x:c r="D639" s="24" t="n">
        <x:v>47664</x:v>
      </x:c>
      <x:c r="E639" s="13" t="str">
        <x:v>Zagueiro</x:v>
      </x:c>
      <x:c r="F639" s="13" t="str">
        <x:v>Nottingham Forest</x:v>
      </x:c>
      <x:c r="G639" s="16"/>
      <x:c r="H639" s="16"/>
      <x:c r="I639" s="16"/>
      <x:c r="J639" s="16"/>
      <x:c r="K639" s="16" t="str">
        <x:f>IF(COUNT(G639,I639)=0,"",AVERAGE(G639,I639))</x:f>
      </x:c>
      <x:c r="L639" s="16" t="str">
        <x:f>IF(COUNT(H639,J639)=0,"",AVERAGE(H639,J639))</x:f>
      </x:c>
      <x:c r="M639" s="16" t="str">
        <x:f>IF(OR(K639="",L639=""),"",L639-K639)</x:f>
      </x:c>
      <x:c r="N639" s="16" t="str">
        <x:f>IF(AND(A639=A638,ISNUMBER(K639),ISNUMBER(K638)),K639-K638,"")</x:f>
      </x:c>
      <x:c r="O639" s="13" t="str">
        <x:v>Sem informação</x:v>
      </x:c>
      <x:c r="P639" s="26"/>
      <x:c r="Q639" s="13"/>
      <x:c r="R639" s="13"/>
      <x:c r="S639" s="13"/>
      <x:c r="T639" s="13"/>
    </x:row>
    <x:row r="640">
      <x:c r="A640" s="13" t="str">
        <x:v>Murillo</x:v>
      </x:c>
      <x:c r="B640" s="13" t="n">
        <x:v>2030</x:v>
      </x:c>
      <x:c r="C640" s="13" t="str">
        <x:v>T3</x:v>
      </x:c>
      <x:c r="D640" s="24" t="n">
        <x:v>47756</x:v>
      </x:c>
      <x:c r="E640" s="13" t="str">
        <x:v>Zagueiro</x:v>
      </x:c>
      <x:c r="F640" s="13" t="str">
        <x:v>Nottingham Forest</x:v>
      </x:c>
      <x:c r="G640" s="16"/>
      <x:c r="H640" s="16"/>
      <x:c r="I640" s="16"/>
      <x:c r="J640" s="16"/>
      <x:c r="K640" s="16" t="str">
        <x:f>IF(COUNT(G640,I640)=0,"",AVERAGE(G640,I640))</x:f>
      </x:c>
      <x:c r="L640" s="16" t="str">
        <x:f>IF(COUNT(H640,J640)=0,"",AVERAGE(H640,J640))</x:f>
      </x:c>
      <x:c r="M640" s="16" t="str">
        <x:f>IF(OR(K640="",L640=""),"",L640-K640)</x:f>
      </x:c>
      <x:c r="N640" s="16" t="str">
        <x:f>IF(AND(A640=A639,ISNUMBER(K640),ISNUMBER(K639)),K640-K639,"")</x:f>
      </x:c>
      <x:c r="O640" s="13" t="str">
        <x:v>Sem informação</x:v>
      </x:c>
      <x:c r="P640" s="26"/>
      <x:c r="Q640" s="13"/>
      <x:c r="R640" s="13"/>
      <x:c r="S640" s="13"/>
      <x:c r="T640" s="13"/>
    </x:row>
    <x:row r="641">
      <x:c r="A641" s="13" t="str">
        <x:v>Murillo</x:v>
      </x:c>
      <x:c r="B641" s="13" t="n">
        <x:v>2030</x:v>
      </x:c>
      <x:c r="C641" s="13" t="str">
        <x:v>T4</x:v>
      </x:c>
      <x:c r="D641" s="24" t="n">
        <x:v>47848</x:v>
      </x:c>
      <x:c r="E641" s="13" t="str">
        <x:v>Zagueiro</x:v>
      </x:c>
      <x:c r="F641" s="13" t="str">
        <x:v>Nottingham Forest</x:v>
      </x:c>
      <x:c r="G641" s="16"/>
      <x:c r="H641" s="16"/>
      <x:c r="I641" s="16"/>
      <x:c r="J641" s="16"/>
      <x:c r="K641" s="16" t="str">
        <x:f>IF(COUNT(G641,I641)=0,"",AVERAGE(G641,I641))</x:f>
      </x:c>
      <x:c r="L641" s="16" t="str">
        <x:f>IF(COUNT(H641,J641)=0,"",AVERAGE(H641,J641))</x:f>
      </x:c>
      <x:c r="M641" s="16" t="str">
        <x:f>IF(OR(K641="",L641=""),"",L641-K641)</x:f>
      </x:c>
      <x:c r="N641" s="16" t="str">
        <x:f>IF(AND(A641=A640,ISNUMBER(K641),ISNUMBER(K640)),K641-K640,"")</x:f>
      </x:c>
      <x:c r="O641" s="13" t="str">
        <x:v>Sem informação</x:v>
      </x:c>
      <x:c r="P641" s="26"/>
      <x:c r="Q641" s="13"/>
      <x:c r="R641" s="13"/>
      <x:c r="S641" s="13"/>
      <x:c r="T641" s="13"/>
    </x:row>
    <x:row r="642">
      <x:c r="A642" s="13" t="str">
        <x:v>Rodrygo</x:v>
      </x:c>
      <x:c r="B642" s="13" t="n">
        <x:v>2026</x:v>
      </x:c>
      <x:c r="C642" s="13" t="str">
        <x:v>T1</x:v>
      </x:c>
      <x:c r="D642" s="24" t="n">
        <x:v>46112</x:v>
      </x:c>
      <x:c r="E642" s="13" t="str">
        <x:v>Meia-armador</x:v>
      </x:c>
      <x:c r="F642" s="13" t="str">
        <x:v>Real Madrid CF</x:v>
      </x:c>
      <x:c r="G642" s="16"/>
      <x:c r="H642" s="16"/>
      <x:c r="I642" s="16"/>
      <x:c r="J642" s="16"/>
      <x:c r="K642" s="16" t="str">
        <x:f>IF(COUNT(G642,I642)=0,"",AVERAGE(G642,I642))</x:f>
      </x:c>
      <x:c r="L642" s="16" t="str">
        <x:f>IF(COUNT(H642,J642)=0,"",AVERAGE(H642,J642))</x:f>
      </x:c>
      <x:c r="M642" s="16" t="str">
        <x:f>IF(OR(K642="",L642=""),"",L642-K642)</x:f>
      </x:c>
      <x:c r="N642" s="16" t="str">
        <x:f>IF(AND(A642=A641,ISNUMBER(K642),ISNUMBER(K641)),K642-K641,"")</x:f>
      </x:c>
      <x:c r="O642" s="13" t="str">
        <x:v>Sem informação</x:v>
      </x:c>
      <x:c r="P642" s="26"/>
      <x:c r="Q642" s="13"/>
      <x:c r="R642" s="13"/>
      <x:c r="S642" s="13"/>
      <x:c r="T642" s="13"/>
    </x:row>
    <x:row r="643">
      <x:c r="A643" s="13" t="str">
        <x:v>Rodrygo</x:v>
      </x:c>
      <x:c r="B643" s="13" t="n">
        <x:v>2026</x:v>
      </x:c>
      <x:c r="C643" s="13" t="str">
        <x:v>T2</x:v>
      </x:c>
      <x:c r="D643" s="24" t="n">
        <x:v>46203</x:v>
      </x:c>
      <x:c r="E643" s="13" t="str">
        <x:v>Meia-armador</x:v>
      </x:c>
      <x:c r="F643" s="13" t="str">
        <x:v>Real Madrid CF</x:v>
      </x:c>
      <x:c r="G643" s="16"/>
      <x:c r="H643" s="16"/>
      <x:c r="I643" s="16"/>
      <x:c r="J643" s="16"/>
      <x:c r="K643" s="16" t="str">
        <x:f>IF(COUNT(G643,I643)=0,"",AVERAGE(G643,I643))</x:f>
      </x:c>
      <x:c r="L643" s="16" t="str">
        <x:f>IF(COUNT(H643,J643)=0,"",AVERAGE(H643,J643))</x:f>
      </x:c>
      <x:c r="M643" s="16" t="str">
        <x:f>IF(OR(K643="",L643=""),"",L643-K643)</x:f>
      </x:c>
      <x:c r="N643" s="16" t="str">
        <x:f>IF(AND(A643=A642,ISNUMBER(K643),ISNUMBER(K642)),K643-K642,"")</x:f>
      </x:c>
      <x:c r="O643" s="13" t="str">
        <x:v>Sem informação</x:v>
      </x:c>
      <x:c r="P643" s="26"/>
      <x:c r="Q643" s="13"/>
      <x:c r="R643" s="13"/>
      <x:c r="S643" s="13"/>
      <x:c r="T643" s="13"/>
    </x:row>
    <x:row r="644">
      <x:c r="A644" s="13" t="str">
        <x:v>Rodrygo</x:v>
      </x:c>
      <x:c r="B644" s="13" t="n">
        <x:v>2026</x:v>
      </x:c>
      <x:c r="C644" s="13" t="str">
        <x:v>T3</x:v>
      </x:c>
      <x:c r="D644" s="24" t="n">
        <x:v>46295</x:v>
      </x:c>
      <x:c r="E644" s="13" t="str">
        <x:v>Meia-armador</x:v>
      </x:c>
      <x:c r="F644" s="13" t="str">
        <x:v>Real Madrid CF</x:v>
      </x:c>
      <x:c r="G644" s="16"/>
      <x:c r="H644" s="16"/>
      <x:c r="I644" s="16"/>
      <x:c r="J644" s="16"/>
      <x:c r="K644" s="16" t="str">
        <x:f>IF(COUNT(G644,I644)=0,"",AVERAGE(G644,I644))</x:f>
      </x:c>
      <x:c r="L644" s="16" t="str">
        <x:f>IF(COUNT(H644,J644)=0,"",AVERAGE(H644,J644))</x:f>
      </x:c>
      <x:c r="M644" s="16" t="str">
        <x:f>IF(OR(K644="",L644=""),"",L644-K644)</x:f>
      </x:c>
      <x:c r="N644" s="16" t="str">
        <x:f>IF(AND(A644=A643,ISNUMBER(K644),ISNUMBER(K643)),K644-K643,"")</x:f>
      </x:c>
      <x:c r="O644" s="13" t="str">
        <x:v>Sem informação</x:v>
      </x:c>
      <x:c r="P644" s="26"/>
      <x:c r="Q644" s="13"/>
      <x:c r="R644" s="13"/>
      <x:c r="S644" s="13"/>
      <x:c r="T644" s="13"/>
    </x:row>
    <x:row r="645">
      <x:c r="A645" s="13" t="str">
        <x:v>Rodrygo</x:v>
      </x:c>
      <x:c r="B645" s="13" t="n">
        <x:v>2026</x:v>
      </x:c>
      <x:c r="C645" s="13" t="str">
        <x:v>T4</x:v>
      </x:c>
      <x:c r="D645" s="24" t="n">
        <x:v>46387</x:v>
      </x:c>
      <x:c r="E645" s="13" t="str">
        <x:v>Meia-armador</x:v>
      </x:c>
      <x:c r="F645" s="13" t="str">
        <x:v>Real Madrid CF</x:v>
      </x:c>
      <x:c r="G645" s="16"/>
      <x:c r="H645" s="16"/>
      <x:c r="I645" s="16"/>
      <x:c r="J645" s="16"/>
      <x:c r="K645" s="16" t="str">
        <x:f>IF(COUNT(G645,I645)=0,"",AVERAGE(G645,I645))</x:f>
      </x:c>
      <x:c r="L645" s="16" t="str">
        <x:f>IF(COUNT(H645,J645)=0,"",AVERAGE(H645,J645))</x:f>
      </x:c>
      <x:c r="M645" s="16" t="str">
        <x:f>IF(OR(K645="",L645=""),"",L645-K645)</x:f>
      </x:c>
      <x:c r="N645" s="16" t="str">
        <x:f>IF(AND(A645=A644,ISNUMBER(K645),ISNUMBER(K644)),K645-K644,"")</x:f>
      </x:c>
      <x:c r="O645" s="13" t="str">
        <x:v>Sem informação</x:v>
      </x:c>
      <x:c r="P645" s="26"/>
      <x:c r="Q645" s="13"/>
      <x:c r="R645" s="13"/>
      <x:c r="S645" s="13"/>
      <x:c r="T645" s="13"/>
    </x:row>
    <x:row r="646">
      <x:c r="A646" s="13" t="str">
        <x:v>Rodrygo</x:v>
      </x:c>
      <x:c r="B646" s="13" t="n">
        <x:v>2027</x:v>
      </x:c>
      <x:c r="C646" s="13" t="str">
        <x:v>T1</x:v>
      </x:c>
      <x:c r="D646" s="24" t="n">
        <x:v>46477</x:v>
      </x:c>
      <x:c r="E646" s="13" t="str">
        <x:v>Meia-armador</x:v>
      </x:c>
      <x:c r="F646" s="13" t="str">
        <x:v>Real Madrid CF</x:v>
      </x:c>
      <x:c r="G646" s="16"/>
      <x:c r="H646" s="16"/>
      <x:c r="I646" s="16"/>
      <x:c r="J646" s="16"/>
      <x:c r="K646" s="16" t="str">
        <x:f>IF(COUNT(G646,I646)=0,"",AVERAGE(G646,I646))</x:f>
      </x:c>
      <x:c r="L646" s="16" t="str">
        <x:f>IF(COUNT(H646,J646)=0,"",AVERAGE(H646,J646))</x:f>
      </x:c>
      <x:c r="M646" s="16" t="str">
        <x:f>IF(OR(K646="",L646=""),"",L646-K646)</x:f>
      </x:c>
      <x:c r="N646" s="16" t="str">
        <x:f>IF(AND(A646=A645,ISNUMBER(K646),ISNUMBER(K645)),K646-K645,"")</x:f>
      </x:c>
      <x:c r="O646" s="13" t="str">
        <x:v>Sem informação</x:v>
      </x:c>
      <x:c r="P646" s="26"/>
      <x:c r="Q646" s="13"/>
      <x:c r="R646" s="13"/>
      <x:c r="S646" s="13"/>
      <x:c r="T646" s="13"/>
    </x:row>
    <x:row r="647">
      <x:c r="A647" s="13" t="str">
        <x:v>Rodrygo</x:v>
      </x:c>
      <x:c r="B647" s="13" t="n">
        <x:v>2027</x:v>
      </x:c>
      <x:c r="C647" s="13" t="str">
        <x:v>T2</x:v>
      </x:c>
      <x:c r="D647" s="24" t="n">
        <x:v>46568</x:v>
      </x:c>
      <x:c r="E647" s="13" t="str">
        <x:v>Meia-armador</x:v>
      </x:c>
      <x:c r="F647" s="13" t="str">
        <x:v>Real Madrid CF</x:v>
      </x:c>
      <x:c r="G647" s="16"/>
      <x:c r="H647" s="16"/>
      <x:c r="I647" s="16"/>
      <x:c r="J647" s="16"/>
      <x:c r="K647" s="16" t="str">
        <x:f>IF(COUNT(G647,I647)=0,"",AVERAGE(G647,I647))</x:f>
      </x:c>
      <x:c r="L647" s="16" t="str">
        <x:f>IF(COUNT(H647,J647)=0,"",AVERAGE(H647,J647))</x:f>
      </x:c>
      <x:c r="M647" s="16" t="str">
        <x:f>IF(OR(K647="",L647=""),"",L647-K647)</x:f>
      </x:c>
      <x:c r="N647" s="16" t="str">
        <x:f>IF(AND(A647=A646,ISNUMBER(K647),ISNUMBER(K646)),K647-K646,"")</x:f>
      </x:c>
      <x:c r="O647" s="13" t="str">
        <x:v>Sem informação</x:v>
      </x:c>
      <x:c r="P647" s="26"/>
      <x:c r="Q647" s="13"/>
      <x:c r="R647" s="13"/>
      <x:c r="S647" s="13"/>
      <x:c r="T647" s="13"/>
    </x:row>
    <x:row r="648">
      <x:c r="A648" s="13" t="str">
        <x:v>Rodrygo</x:v>
      </x:c>
      <x:c r="B648" s="13" t="n">
        <x:v>2027</x:v>
      </x:c>
      <x:c r="C648" s="13" t="str">
        <x:v>T3</x:v>
      </x:c>
      <x:c r="D648" s="24" t="n">
        <x:v>46660</x:v>
      </x:c>
      <x:c r="E648" s="13" t="str">
        <x:v>Meia-armador</x:v>
      </x:c>
      <x:c r="F648" s="13" t="str">
        <x:v>Real Madrid CF</x:v>
      </x:c>
      <x:c r="G648" s="16"/>
      <x:c r="H648" s="16"/>
      <x:c r="I648" s="16"/>
      <x:c r="J648" s="16"/>
      <x:c r="K648" s="16" t="str">
        <x:f>IF(COUNT(G648,I648)=0,"",AVERAGE(G648,I648))</x:f>
      </x:c>
      <x:c r="L648" s="16" t="str">
        <x:f>IF(COUNT(H648,J648)=0,"",AVERAGE(H648,J648))</x:f>
      </x:c>
      <x:c r="M648" s="16" t="str">
        <x:f>IF(OR(K648="",L648=""),"",L648-K648)</x:f>
      </x:c>
      <x:c r="N648" s="16" t="str">
        <x:f>IF(AND(A648=A647,ISNUMBER(K648),ISNUMBER(K647)),K648-K647,"")</x:f>
      </x:c>
      <x:c r="O648" s="13" t="str">
        <x:v>Sem informação</x:v>
      </x:c>
      <x:c r="P648" s="26"/>
      <x:c r="Q648" s="13"/>
      <x:c r="R648" s="13"/>
      <x:c r="S648" s="13"/>
      <x:c r="T648" s="13"/>
    </x:row>
    <x:row r="649">
      <x:c r="A649" s="13" t="str">
        <x:v>Rodrygo</x:v>
      </x:c>
      <x:c r="B649" s="13" t="n">
        <x:v>2027</x:v>
      </x:c>
      <x:c r="C649" s="13" t="str">
        <x:v>T4</x:v>
      </x:c>
      <x:c r="D649" s="24" t="n">
        <x:v>46752</x:v>
      </x:c>
      <x:c r="E649" s="13" t="str">
        <x:v>Meia-armador</x:v>
      </x:c>
      <x:c r="F649" s="13" t="str">
        <x:v>Real Madrid CF</x:v>
      </x:c>
      <x:c r="G649" s="16"/>
      <x:c r="H649" s="16"/>
      <x:c r="I649" s="16"/>
      <x:c r="J649" s="16"/>
      <x:c r="K649" s="16" t="str">
        <x:f>IF(COUNT(G649,I649)=0,"",AVERAGE(G649,I649))</x:f>
      </x:c>
      <x:c r="L649" s="16" t="str">
        <x:f>IF(COUNT(H649,J649)=0,"",AVERAGE(H649,J649))</x:f>
      </x:c>
      <x:c r="M649" s="16" t="str">
        <x:f>IF(OR(K649="",L649=""),"",L649-K649)</x:f>
      </x:c>
      <x:c r="N649" s="16" t="str">
        <x:f>IF(AND(A649=A648,ISNUMBER(K649),ISNUMBER(K648)),K649-K648,"")</x:f>
      </x:c>
      <x:c r="O649" s="13" t="str">
        <x:v>Sem informação</x:v>
      </x:c>
      <x:c r="P649" s="26"/>
      <x:c r="Q649" s="13"/>
      <x:c r="R649" s="13"/>
      <x:c r="S649" s="13"/>
      <x:c r="T649" s="13"/>
    </x:row>
    <x:row r="650">
      <x:c r="A650" s="13" t="str">
        <x:v>Rodrygo</x:v>
      </x:c>
      <x:c r="B650" s="13" t="n">
        <x:v>2028</x:v>
      </x:c>
      <x:c r="C650" s="13" t="str">
        <x:v>T1</x:v>
      </x:c>
      <x:c r="D650" s="24" t="n">
        <x:v>46843</x:v>
      </x:c>
      <x:c r="E650" s="13" t="str">
        <x:v>Meia-armador</x:v>
      </x:c>
      <x:c r="F650" s="13" t="str">
        <x:v>Real Madrid CF</x:v>
      </x:c>
      <x:c r="G650" s="16"/>
      <x:c r="H650" s="16"/>
      <x:c r="I650" s="16"/>
      <x:c r="J650" s="16"/>
      <x:c r="K650" s="16" t="str">
        <x:f>IF(COUNT(G650,I650)=0,"",AVERAGE(G650,I650))</x:f>
      </x:c>
      <x:c r="L650" s="16" t="str">
        <x:f>IF(COUNT(H650,J650)=0,"",AVERAGE(H650,J650))</x:f>
      </x:c>
      <x:c r="M650" s="16" t="str">
        <x:f>IF(OR(K650="",L650=""),"",L650-K650)</x:f>
      </x:c>
      <x:c r="N650" s="16" t="str">
        <x:f>IF(AND(A650=A649,ISNUMBER(K650),ISNUMBER(K649)),K650-K649,"")</x:f>
      </x:c>
      <x:c r="O650" s="13" t="str">
        <x:v>Sem informação</x:v>
      </x:c>
      <x:c r="P650" s="26"/>
      <x:c r="Q650" s="13"/>
      <x:c r="R650" s="13"/>
      <x:c r="S650" s="13"/>
      <x:c r="T650" s="13"/>
    </x:row>
    <x:row r="651">
      <x:c r="A651" s="13" t="str">
        <x:v>Rodrygo</x:v>
      </x:c>
      <x:c r="B651" s="13" t="n">
        <x:v>2028</x:v>
      </x:c>
      <x:c r="C651" s="13" t="str">
        <x:v>T2</x:v>
      </x:c>
      <x:c r="D651" s="24" t="n">
        <x:v>46934</x:v>
      </x:c>
      <x:c r="E651" s="13" t="str">
        <x:v>Meia-armador</x:v>
      </x:c>
      <x:c r="F651" s="13" t="str">
        <x:v>Real Madrid CF</x:v>
      </x:c>
      <x:c r="G651" s="16"/>
      <x:c r="H651" s="16"/>
      <x:c r="I651" s="16"/>
      <x:c r="J651" s="16"/>
      <x:c r="K651" s="16" t="str">
        <x:f>IF(COUNT(G651,I651)=0,"",AVERAGE(G651,I651))</x:f>
      </x:c>
      <x:c r="L651" s="16" t="str">
        <x:f>IF(COUNT(H651,J651)=0,"",AVERAGE(H651,J651))</x:f>
      </x:c>
      <x:c r="M651" s="16" t="str">
        <x:f>IF(OR(K651="",L651=""),"",L651-K651)</x:f>
      </x:c>
      <x:c r="N651" s="16" t="str">
        <x:f>IF(AND(A651=A650,ISNUMBER(K651),ISNUMBER(K650)),K651-K650,"")</x:f>
      </x:c>
      <x:c r="O651" s="13" t="str">
        <x:v>Sem informação</x:v>
      </x:c>
      <x:c r="P651" s="26"/>
      <x:c r="Q651" s="13"/>
      <x:c r="R651" s="13"/>
      <x:c r="S651" s="13"/>
      <x:c r="T651" s="13"/>
    </x:row>
    <x:row r="652">
      <x:c r="A652" s="13" t="str">
        <x:v>Rodrygo</x:v>
      </x:c>
      <x:c r="B652" s="13" t="n">
        <x:v>2028</x:v>
      </x:c>
      <x:c r="C652" s="13" t="str">
        <x:v>T3</x:v>
      </x:c>
      <x:c r="D652" s="24" t="n">
        <x:v>47026</x:v>
      </x:c>
      <x:c r="E652" s="13" t="str">
        <x:v>Meia-armador</x:v>
      </x:c>
      <x:c r="F652" s="13" t="str">
        <x:v>Real Madrid CF</x:v>
      </x:c>
      <x:c r="G652" s="16"/>
      <x:c r="H652" s="16"/>
      <x:c r="I652" s="16"/>
      <x:c r="J652" s="16"/>
      <x:c r="K652" s="16" t="str">
        <x:f>IF(COUNT(G652,I652)=0,"",AVERAGE(G652,I652))</x:f>
      </x:c>
      <x:c r="L652" s="16" t="str">
        <x:f>IF(COUNT(H652,J652)=0,"",AVERAGE(H652,J652))</x:f>
      </x:c>
      <x:c r="M652" s="16" t="str">
        <x:f>IF(OR(K652="",L652=""),"",L652-K652)</x:f>
      </x:c>
      <x:c r="N652" s="16" t="str">
        <x:f>IF(AND(A652=A651,ISNUMBER(K652),ISNUMBER(K651)),K652-K651,"")</x:f>
      </x:c>
      <x:c r="O652" s="13" t="str">
        <x:v>Sem informação</x:v>
      </x:c>
      <x:c r="P652" s="26"/>
      <x:c r="Q652" s="13"/>
      <x:c r="R652" s="13"/>
      <x:c r="S652" s="13"/>
      <x:c r="T652" s="13"/>
    </x:row>
    <x:row r="653">
      <x:c r="A653" s="13" t="str">
        <x:v>Rodrygo</x:v>
      </x:c>
      <x:c r="B653" s="13" t="n">
        <x:v>2028</x:v>
      </x:c>
      <x:c r="C653" s="13" t="str">
        <x:v>T4</x:v>
      </x:c>
      <x:c r="D653" s="24" t="n">
        <x:v>47118</x:v>
      </x:c>
      <x:c r="E653" s="13" t="str">
        <x:v>Meia-armador</x:v>
      </x:c>
      <x:c r="F653" s="13" t="str">
        <x:v>Real Madrid CF</x:v>
      </x:c>
      <x:c r="G653" s="16"/>
      <x:c r="H653" s="16"/>
      <x:c r="I653" s="16"/>
      <x:c r="J653" s="16"/>
      <x:c r="K653" s="16" t="str">
        <x:f>IF(COUNT(G653,I653)=0,"",AVERAGE(G653,I653))</x:f>
      </x:c>
      <x:c r="L653" s="16" t="str">
        <x:f>IF(COUNT(H653,J653)=0,"",AVERAGE(H653,J653))</x:f>
      </x:c>
      <x:c r="M653" s="16" t="str">
        <x:f>IF(OR(K653="",L653=""),"",L653-K653)</x:f>
      </x:c>
      <x:c r="N653" s="16" t="str">
        <x:f>IF(AND(A653=A652,ISNUMBER(K653),ISNUMBER(K652)),K653-K652,"")</x:f>
      </x:c>
      <x:c r="O653" s="13" t="str">
        <x:v>Sem informação</x:v>
      </x:c>
      <x:c r="P653" s="26"/>
      <x:c r="Q653" s="13"/>
      <x:c r="R653" s="13"/>
      <x:c r="S653" s="13"/>
      <x:c r="T653" s="13"/>
    </x:row>
    <x:row r="654">
      <x:c r="A654" s="13" t="str">
        <x:v>Rodrygo</x:v>
      </x:c>
      <x:c r="B654" s="13" t="n">
        <x:v>2029</x:v>
      </x:c>
      <x:c r="C654" s="13" t="str">
        <x:v>T1</x:v>
      </x:c>
      <x:c r="D654" s="24" t="n">
        <x:v>47208</x:v>
      </x:c>
      <x:c r="E654" s="13" t="str">
        <x:v>Meia-armador</x:v>
      </x:c>
      <x:c r="F654" s="13" t="str">
        <x:v>Real Madrid CF</x:v>
      </x:c>
      <x:c r="G654" s="16"/>
      <x:c r="H654" s="16"/>
      <x:c r="I654" s="16"/>
      <x:c r="J654" s="16"/>
      <x:c r="K654" s="16" t="str">
        <x:f>IF(COUNT(G654,I654)=0,"",AVERAGE(G654,I654))</x:f>
      </x:c>
      <x:c r="L654" s="16" t="str">
        <x:f>IF(COUNT(H654,J654)=0,"",AVERAGE(H654,J654))</x:f>
      </x:c>
      <x:c r="M654" s="16" t="str">
        <x:f>IF(OR(K654="",L654=""),"",L654-K654)</x:f>
      </x:c>
      <x:c r="N654" s="16" t="str">
        <x:f>IF(AND(A654=A653,ISNUMBER(K654),ISNUMBER(K653)),K654-K653,"")</x:f>
      </x:c>
      <x:c r="O654" s="13" t="str">
        <x:v>Sem informação</x:v>
      </x:c>
      <x:c r="P654" s="26"/>
      <x:c r="Q654" s="13"/>
      <x:c r="R654" s="13"/>
      <x:c r="S654" s="13"/>
      <x:c r="T654" s="13"/>
    </x:row>
    <x:row r="655">
      <x:c r="A655" s="13" t="str">
        <x:v>Rodrygo</x:v>
      </x:c>
      <x:c r="B655" s="13" t="n">
        <x:v>2029</x:v>
      </x:c>
      <x:c r="C655" s="13" t="str">
        <x:v>T2</x:v>
      </x:c>
      <x:c r="D655" s="24" t="n">
        <x:v>47299</x:v>
      </x:c>
      <x:c r="E655" s="13" t="str">
        <x:v>Meia-armador</x:v>
      </x:c>
      <x:c r="F655" s="13" t="str">
        <x:v>Real Madrid CF</x:v>
      </x:c>
      <x:c r="G655" s="16"/>
      <x:c r="H655" s="16"/>
      <x:c r="I655" s="16"/>
      <x:c r="J655" s="16"/>
      <x:c r="K655" s="16" t="str">
        <x:f>IF(COUNT(G655,I655)=0,"",AVERAGE(G655,I655))</x:f>
      </x:c>
      <x:c r="L655" s="16" t="str">
        <x:f>IF(COUNT(H655,J655)=0,"",AVERAGE(H655,J655))</x:f>
      </x:c>
      <x:c r="M655" s="16" t="str">
        <x:f>IF(OR(K655="",L655=""),"",L655-K655)</x:f>
      </x:c>
      <x:c r="N655" s="16" t="str">
        <x:f>IF(AND(A655=A654,ISNUMBER(K655),ISNUMBER(K654)),K655-K654,"")</x:f>
      </x:c>
      <x:c r="O655" s="13" t="str">
        <x:v>Sem informação</x:v>
      </x:c>
      <x:c r="P655" s="26"/>
      <x:c r="Q655" s="13"/>
      <x:c r="R655" s="13"/>
      <x:c r="S655" s="13"/>
      <x:c r="T655" s="13"/>
    </x:row>
    <x:row r="656">
      <x:c r="A656" s="13" t="str">
        <x:v>Rodrygo</x:v>
      </x:c>
      <x:c r="B656" s="13" t="n">
        <x:v>2029</x:v>
      </x:c>
      <x:c r="C656" s="13" t="str">
        <x:v>T3</x:v>
      </x:c>
      <x:c r="D656" s="24" t="n">
        <x:v>47391</x:v>
      </x:c>
      <x:c r="E656" s="13" t="str">
        <x:v>Meia-armador</x:v>
      </x:c>
      <x:c r="F656" s="13" t="str">
        <x:v>Real Madrid CF</x:v>
      </x:c>
      <x:c r="G656" s="16"/>
      <x:c r="H656" s="16"/>
      <x:c r="I656" s="16"/>
      <x:c r="J656" s="16"/>
      <x:c r="K656" s="16" t="str">
        <x:f>IF(COUNT(G656,I656)=0,"",AVERAGE(G656,I656))</x:f>
      </x:c>
      <x:c r="L656" s="16" t="str">
        <x:f>IF(COUNT(H656,J656)=0,"",AVERAGE(H656,J656))</x:f>
      </x:c>
      <x:c r="M656" s="16" t="str">
        <x:f>IF(OR(K656="",L656=""),"",L656-K656)</x:f>
      </x:c>
      <x:c r="N656" s="16" t="str">
        <x:f>IF(AND(A656=A655,ISNUMBER(K656),ISNUMBER(K655)),K656-K655,"")</x:f>
      </x:c>
      <x:c r="O656" s="13" t="str">
        <x:v>Sem informação</x:v>
      </x:c>
      <x:c r="P656" s="26"/>
      <x:c r="Q656" s="13"/>
      <x:c r="R656" s="13"/>
      <x:c r="S656" s="13"/>
      <x:c r="T656" s="13"/>
    </x:row>
    <x:row r="657">
      <x:c r="A657" s="13" t="str">
        <x:v>Rodrygo</x:v>
      </x:c>
      <x:c r="B657" s="13" t="n">
        <x:v>2029</x:v>
      </x:c>
      <x:c r="C657" s="13" t="str">
        <x:v>T4</x:v>
      </x:c>
      <x:c r="D657" s="24" t="n">
        <x:v>47483</x:v>
      </x:c>
      <x:c r="E657" s="13" t="str">
        <x:v>Meia-armador</x:v>
      </x:c>
      <x:c r="F657" s="13" t="str">
        <x:v>Real Madrid CF</x:v>
      </x:c>
      <x:c r="G657" s="16"/>
      <x:c r="H657" s="16"/>
      <x:c r="I657" s="16"/>
      <x:c r="J657" s="16"/>
      <x:c r="K657" s="16" t="str">
        <x:f>IF(COUNT(G657,I657)=0,"",AVERAGE(G657,I657))</x:f>
      </x:c>
      <x:c r="L657" s="16" t="str">
        <x:f>IF(COUNT(H657,J657)=0,"",AVERAGE(H657,J657))</x:f>
      </x:c>
      <x:c r="M657" s="16" t="str">
        <x:f>IF(OR(K657="",L657=""),"",L657-K657)</x:f>
      </x:c>
      <x:c r="N657" s="16" t="str">
        <x:f>IF(AND(A657=A656,ISNUMBER(K657),ISNUMBER(K656)),K657-K656,"")</x:f>
      </x:c>
      <x:c r="O657" s="13" t="str">
        <x:v>Sem informação</x:v>
      </x:c>
      <x:c r="P657" s="26"/>
      <x:c r="Q657" s="13"/>
      <x:c r="R657" s="13"/>
      <x:c r="S657" s="13"/>
      <x:c r="T657" s="13"/>
    </x:row>
    <x:row r="658">
      <x:c r="A658" s="13" t="str">
        <x:v>Rodrygo</x:v>
      </x:c>
      <x:c r="B658" s="13" t="n">
        <x:v>2030</x:v>
      </x:c>
      <x:c r="C658" s="13" t="str">
        <x:v>T1</x:v>
      </x:c>
      <x:c r="D658" s="24" t="n">
        <x:v>47573</x:v>
      </x:c>
      <x:c r="E658" s="13" t="str">
        <x:v>Meia-armador</x:v>
      </x:c>
      <x:c r="F658" s="13" t="str">
        <x:v>Real Madrid CF</x:v>
      </x:c>
      <x:c r="G658" s="16"/>
      <x:c r="H658" s="16"/>
      <x:c r="I658" s="16"/>
      <x:c r="J658" s="16"/>
      <x:c r="K658" s="16" t="str">
        <x:f>IF(COUNT(G658,I658)=0,"",AVERAGE(G658,I658))</x:f>
      </x:c>
      <x:c r="L658" s="16" t="str">
        <x:f>IF(COUNT(H658,J658)=0,"",AVERAGE(H658,J658))</x:f>
      </x:c>
      <x:c r="M658" s="16" t="str">
        <x:f>IF(OR(K658="",L658=""),"",L658-K658)</x:f>
      </x:c>
      <x:c r="N658" s="16" t="str">
        <x:f>IF(AND(A658=A657,ISNUMBER(K658),ISNUMBER(K657)),K658-K657,"")</x:f>
      </x:c>
      <x:c r="O658" s="13" t="str">
        <x:v>Sem informação</x:v>
      </x:c>
      <x:c r="P658" s="26"/>
      <x:c r="Q658" s="13"/>
      <x:c r="R658" s="13"/>
      <x:c r="S658" s="13"/>
      <x:c r="T658" s="13"/>
    </x:row>
    <x:row r="659">
      <x:c r="A659" s="13" t="str">
        <x:v>Rodrygo</x:v>
      </x:c>
      <x:c r="B659" s="13" t="n">
        <x:v>2030</x:v>
      </x:c>
      <x:c r="C659" s="13" t="str">
        <x:v>T2</x:v>
      </x:c>
      <x:c r="D659" s="24" t="n">
        <x:v>47664</x:v>
      </x:c>
      <x:c r="E659" s="13" t="str">
        <x:v>Meia-armador</x:v>
      </x:c>
      <x:c r="F659" s="13" t="str">
        <x:v>Real Madrid CF</x:v>
      </x:c>
      <x:c r="G659" s="16"/>
      <x:c r="H659" s="16"/>
      <x:c r="I659" s="16"/>
      <x:c r="J659" s="16"/>
      <x:c r="K659" s="16" t="str">
        <x:f>IF(COUNT(G659,I659)=0,"",AVERAGE(G659,I659))</x:f>
      </x:c>
      <x:c r="L659" s="16" t="str">
        <x:f>IF(COUNT(H659,J659)=0,"",AVERAGE(H659,J659))</x:f>
      </x:c>
      <x:c r="M659" s="16" t="str">
        <x:f>IF(OR(K659="",L659=""),"",L659-K659)</x:f>
      </x:c>
      <x:c r="N659" s="16" t="str">
        <x:f>IF(AND(A659=A658,ISNUMBER(K659),ISNUMBER(K658)),K659-K658,"")</x:f>
      </x:c>
      <x:c r="O659" s="13" t="str">
        <x:v>Sem informação</x:v>
      </x:c>
      <x:c r="P659" s="26"/>
      <x:c r="Q659" s="13"/>
      <x:c r="R659" s="13"/>
      <x:c r="S659" s="13"/>
      <x:c r="T659" s="13"/>
    </x:row>
    <x:row r="660">
      <x:c r="A660" s="13" t="str">
        <x:v>Rodrygo</x:v>
      </x:c>
      <x:c r="B660" s="13" t="n">
        <x:v>2030</x:v>
      </x:c>
      <x:c r="C660" s="13" t="str">
        <x:v>T3</x:v>
      </x:c>
      <x:c r="D660" s="24" t="n">
        <x:v>47756</x:v>
      </x:c>
      <x:c r="E660" s="13" t="str">
        <x:v>Meia-armador</x:v>
      </x:c>
      <x:c r="F660" s="13" t="str">
        <x:v>Real Madrid CF</x:v>
      </x:c>
      <x:c r="G660" s="16"/>
      <x:c r="H660" s="16"/>
      <x:c r="I660" s="16"/>
      <x:c r="J660" s="16"/>
      <x:c r="K660" s="16" t="str">
        <x:f>IF(COUNT(G660,I660)=0,"",AVERAGE(G660,I660))</x:f>
      </x:c>
      <x:c r="L660" s="16" t="str">
        <x:f>IF(COUNT(H660,J660)=0,"",AVERAGE(H660,J660))</x:f>
      </x:c>
      <x:c r="M660" s="16" t="str">
        <x:f>IF(OR(K660="",L660=""),"",L660-K660)</x:f>
      </x:c>
      <x:c r="N660" s="16" t="str">
        <x:f>IF(AND(A660=A659,ISNUMBER(K660),ISNUMBER(K659)),K660-K659,"")</x:f>
      </x:c>
      <x:c r="O660" s="13" t="str">
        <x:v>Sem informação</x:v>
      </x:c>
      <x:c r="P660" s="26"/>
      <x:c r="Q660" s="13"/>
      <x:c r="R660" s="13"/>
      <x:c r="S660" s="13"/>
      <x:c r="T660" s="13"/>
    </x:row>
    <x:row r="661">
      <x:c r="A661" s="13" t="str">
        <x:v>Rodrygo</x:v>
      </x:c>
      <x:c r="B661" s="13" t="n">
        <x:v>2030</x:v>
      </x:c>
      <x:c r="C661" s="13" t="str">
        <x:v>T4</x:v>
      </x:c>
      <x:c r="D661" s="24" t="n">
        <x:v>47848</x:v>
      </x:c>
      <x:c r="E661" s="13" t="str">
        <x:v>Meia-armador</x:v>
      </x:c>
      <x:c r="F661" s="13" t="str">
        <x:v>Real Madrid CF</x:v>
      </x:c>
      <x:c r="G661" s="16"/>
      <x:c r="H661" s="16"/>
      <x:c r="I661" s="16"/>
      <x:c r="J661" s="16"/>
      <x:c r="K661" s="16" t="str">
        <x:f>IF(COUNT(G661,I661)=0,"",AVERAGE(G661,I661))</x:f>
      </x:c>
      <x:c r="L661" s="16" t="str">
        <x:f>IF(COUNT(H661,J661)=0,"",AVERAGE(H661,J661))</x:f>
      </x:c>
      <x:c r="M661" s="16" t="str">
        <x:f>IF(OR(K661="",L661=""),"",L661-K661)</x:f>
      </x:c>
      <x:c r="N661" s="16" t="str">
        <x:f>IF(AND(A661=A660,ISNUMBER(K661),ISNUMBER(K660)),K661-K660,"")</x:f>
      </x:c>
      <x:c r="O661" s="13" t="str">
        <x:v>Sem informação</x:v>
      </x:c>
      <x:c r="P661" s="26"/>
      <x:c r="Q661" s="13"/>
      <x:c r="R661" s="13"/>
      <x:c r="S661" s="13"/>
      <x:c r="T661" s="13"/>
    </x:row>
    <x:row r="662">
      <x:c r="A662" s="13" t="str">
        <x:v>Vinicius Junior</x:v>
      </x:c>
      <x:c r="B662" s="13" t="n">
        <x:v>2026</x:v>
      </x:c>
      <x:c r="C662" s="13" t="str">
        <x:v>T1</x:v>
      </x:c>
      <x:c r="D662" s="24" t="n">
        <x:v>46112</x:v>
      </x:c>
      <x:c r="E662" s="13" t="str">
        <x:v>Ponta-esquerda</x:v>
      </x:c>
      <x:c r="F662" s="13" t="str">
        <x:v>Real Madrid CF</x:v>
      </x:c>
      <x:c r="G662" s="16"/>
      <x:c r="H662" s="16"/>
      <x:c r="I662" s="16"/>
      <x:c r="J662" s="16"/>
      <x:c r="K662" s="16" t="str">
        <x:f>IF(COUNT(G662,I662)=0,"",AVERAGE(G662,I662))</x:f>
      </x:c>
      <x:c r="L662" s="16" t="str">
        <x:f>IF(COUNT(H662,J662)=0,"",AVERAGE(H662,J662))</x:f>
      </x:c>
      <x:c r="M662" s="16" t="str">
        <x:f>IF(OR(K662="",L662=""),"",L662-K662)</x:f>
      </x:c>
      <x:c r="N662" s="16" t="str">
        <x:f>IF(AND(A662=A661,ISNUMBER(K662),ISNUMBER(K661)),K662-K661,"")</x:f>
      </x:c>
      <x:c r="O662" s="13" t="str">
        <x:v>Sem informação</x:v>
      </x:c>
      <x:c r="P662" s="26"/>
      <x:c r="Q662" s="13"/>
      <x:c r="R662" s="13"/>
      <x:c r="S662" s="13"/>
      <x:c r="T662" s="13"/>
    </x:row>
    <x:row r="663">
      <x:c r="A663" s="13" t="str">
        <x:v>Vinicius Junior</x:v>
      </x:c>
      <x:c r="B663" s="13" t="n">
        <x:v>2026</x:v>
      </x:c>
      <x:c r="C663" s="13" t="str">
        <x:v>T2</x:v>
      </x:c>
      <x:c r="D663" s="24" t="n">
        <x:v>46203</x:v>
      </x:c>
      <x:c r="E663" s="13" t="str">
        <x:v>Ponta-esquerda</x:v>
      </x:c>
      <x:c r="F663" s="13" t="str">
        <x:v>Real Madrid CF</x:v>
      </x:c>
      <x:c r="G663" s="16"/>
      <x:c r="H663" s="16"/>
      <x:c r="I663" s="16"/>
      <x:c r="J663" s="16"/>
      <x:c r="K663" s="16" t="str">
        <x:f>IF(COUNT(G663,I663)=0,"",AVERAGE(G663,I663))</x:f>
      </x:c>
      <x:c r="L663" s="16" t="str">
        <x:f>IF(COUNT(H663,J663)=0,"",AVERAGE(H663,J663))</x:f>
      </x:c>
      <x:c r="M663" s="16" t="str">
        <x:f>IF(OR(K663="",L663=""),"",L663-K663)</x:f>
      </x:c>
      <x:c r="N663" s="16" t="str">
        <x:f>IF(AND(A663=A662,ISNUMBER(K663),ISNUMBER(K662)),K663-K662,"")</x:f>
      </x:c>
      <x:c r="O663" s="13" t="str">
        <x:v>Sem informação</x:v>
      </x:c>
      <x:c r="P663" s="26"/>
      <x:c r="Q663" s="13"/>
      <x:c r="R663" s="13"/>
      <x:c r="S663" s="13"/>
      <x:c r="T663" s="13"/>
    </x:row>
    <x:row r="664">
      <x:c r="A664" s="13" t="str">
        <x:v>Vinicius Junior</x:v>
      </x:c>
      <x:c r="B664" s="13" t="n">
        <x:v>2026</x:v>
      </x:c>
      <x:c r="C664" s="13" t="str">
        <x:v>T3</x:v>
      </x:c>
      <x:c r="D664" s="24" t="n">
        <x:v>46295</x:v>
      </x:c>
      <x:c r="E664" s="13" t="str">
        <x:v>Ponta-esquerda</x:v>
      </x:c>
      <x:c r="F664" s="13" t="str">
        <x:v>Real Madrid CF</x:v>
      </x:c>
      <x:c r="G664" s="16"/>
      <x:c r="H664" s="16"/>
      <x:c r="I664" s="16"/>
      <x:c r="J664" s="16"/>
      <x:c r="K664" s="16" t="str">
        <x:f>IF(COUNT(G664,I664)=0,"",AVERAGE(G664,I664))</x:f>
      </x:c>
      <x:c r="L664" s="16" t="str">
        <x:f>IF(COUNT(H664,J664)=0,"",AVERAGE(H664,J664))</x:f>
      </x:c>
      <x:c r="M664" s="16" t="str">
        <x:f>IF(OR(K664="",L664=""),"",L664-K664)</x:f>
      </x:c>
      <x:c r="N664" s="16" t="str">
        <x:f>IF(AND(A664=A663,ISNUMBER(K664),ISNUMBER(K663)),K664-K663,"")</x:f>
      </x:c>
      <x:c r="O664" s="13" t="str">
        <x:v>Sem informação</x:v>
      </x:c>
      <x:c r="P664" s="26"/>
      <x:c r="Q664" s="13"/>
      <x:c r="R664" s="13"/>
      <x:c r="S664" s="13"/>
      <x:c r="T664" s="13"/>
    </x:row>
    <x:row r="665">
      <x:c r="A665" s="13" t="str">
        <x:v>Vinicius Junior</x:v>
      </x:c>
      <x:c r="B665" s="13" t="n">
        <x:v>2026</x:v>
      </x:c>
      <x:c r="C665" s="13" t="str">
        <x:v>T4</x:v>
      </x:c>
      <x:c r="D665" s="24" t="n">
        <x:v>46387</x:v>
      </x:c>
      <x:c r="E665" s="13" t="str">
        <x:v>Ponta-esquerda</x:v>
      </x:c>
      <x:c r="F665" s="13" t="str">
        <x:v>Real Madrid CF</x:v>
      </x:c>
      <x:c r="G665" s="16"/>
      <x:c r="H665" s="16"/>
      <x:c r="I665" s="16"/>
      <x:c r="J665" s="16"/>
      <x:c r="K665" s="16" t="str">
        <x:f>IF(COUNT(G665,I665)=0,"",AVERAGE(G665,I665))</x:f>
      </x:c>
      <x:c r="L665" s="16" t="str">
        <x:f>IF(COUNT(H665,J665)=0,"",AVERAGE(H665,J665))</x:f>
      </x:c>
      <x:c r="M665" s="16" t="str">
        <x:f>IF(OR(K665="",L665=""),"",L665-K665)</x:f>
      </x:c>
      <x:c r="N665" s="16" t="str">
        <x:f>IF(AND(A665=A664,ISNUMBER(K665),ISNUMBER(K664)),K665-K664,"")</x:f>
      </x:c>
      <x:c r="O665" s="13" t="str">
        <x:v>Sem informação</x:v>
      </x:c>
      <x:c r="P665" s="26"/>
      <x:c r="Q665" s="13"/>
      <x:c r="R665" s="13"/>
      <x:c r="S665" s="13"/>
      <x:c r="T665" s="13"/>
    </x:row>
    <x:row r="666">
      <x:c r="A666" s="13" t="str">
        <x:v>Vinicius Junior</x:v>
      </x:c>
      <x:c r="B666" s="13" t="n">
        <x:v>2027</x:v>
      </x:c>
      <x:c r="C666" s="13" t="str">
        <x:v>T1</x:v>
      </x:c>
      <x:c r="D666" s="24" t="n">
        <x:v>46477</x:v>
      </x:c>
      <x:c r="E666" s="13" t="str">
        <x:v>Ponta-esquerda</x:v>
      </x:c>
      <x:c r="F666" s="13" t="str">
        <x:v>Real Madrid CF</x:v>
      </x:c>
      <x:c r="G666" s="16"/>
      <x:c r="H666" s="16"/>
      <x:c r="I666" s="16"/>
      <x:c r="J666" s="16"/>
      <x:c r="K666" s="16" t="str">
        <x:f>IF(COUNT(G666,I666)=0,"",AVERAGE(G666,I666))</x:f>
      </x:c>
      <x:c r="L666" s="16" t="str">
        <x:f>IF(COUNT(H666,J666)=0,"",AVERAGE(H666,J666))</x:f>
      </x:c>
      <x:c r="M666" s="16" t="str">
        <x:f>IF(OR(K666="",L666=""),"",L666-K666)</x:f>
      </x:c>
      <x:c r="N666" s="16" t="str">
        <x:f>IF(AND(A666=A665,ISNUMBER(K666),ISNUMBER(K665)),K666-K665,"")</x:f>
      </x:c>
      <x:c r="O666" s="13" t="str">
        <x:v>Sem informação</x:v>
      </x:c>
      <x:c r="P666" s="26"/>
      <x:c r="Q666" s="13"/>
      <x:c r="R666" s="13"/>
      <x:c r="S666" s="13"/>
      <x:c r="T666" s="13"/>
    </x:row>
    <x:row r="667">
      <x:c r="A667" s="13" t="str">
        <x:v>Vinicius Junior</x:v>
      </x:c>
      <x:c r="B667" s="13" t="n">
        <x:v>2027</x:v>
      </x:c>
      <x:c r="C667" s="13" t="str">
        <x:v>T2</x:v>
      </x:c>
      <x:c r="D667" s="24" t="n">
        <x:v>46568</x:v>
      </x:c>
      <x:c r="E667" s="13" t="str">
        <x:v>Ponta-esquerda</x:v>
      </x:c>
      <x:c r="F667" s="13" t="str">
        <x:v>Real Madrid CF</x:v>
      </x:c>
      <x:c r="G667" s="16"/>
      <x:c r="H667" s="16"/>
      <x:c r="I667" s="16"/>
      <x:c r="J667" s="16"/>
      <x:c r="K667" s="16" t="str">
        <x:f>IF(COUNT(G667,I667)=0,"",AVERAGE(G667,I667))</x:f>
      </x:c>
      <x:c r="L667" s="16" t="str">
        <x:f>IF(COUNT(H667,J667)=0,"",AVERAGE(H667,J667))</x:f>
      </x:c>
      <x:c r="M667" s="16" t="str">
        <x:f>IF(OR(K667="",L667=""),"",L667-K667)</x:f>
      </x:c>
      <x:c r="N667" s="16" t="str">
        <x:f>IF(AND(A667=A666,ISNUMBER(K667),ISNUMBER(K666)),K667-K666,"")</x:f>
      </x:c>
      <x:c r="O667" s="13" t="str">
        <x:v>Sem informação</x:v>
      </x:c>
      <x:c r="P667" s="26"/>
      <x:c r="Q667" s="13"/>
      <x:c r="R667" s="13"/>
      <x:c r="S667" s="13"/>
      <x:c r="T667" s="13"/>
    </x:row>
    <x:row r="668">
      <x:c r="A668" s="13" t="str">
        <x:v>Vinicius Junior</x:v>
      </x:c>
      <x:c r="B668" s="13" t="n">
        <x:v>2027</x:v>
      </x:c>
      <x:c r="C668" s="13" t="str">
        <x:v>T3</x:v>
      </x:c>
      <x:c r="D668" s="24" t="n">
        <x:v>46660</x:v>
      </x:c>
      <x:c r="E668" s="13" t="str">
        <x:v>Ponta-esquerda</x:v>
      </x:c>
      <x:c r="F668" s="13" t="str">
        <x:v>Real Madrid CF</x:v>
      </x:c>
      <x:c r="G668" s="16"/>
      <x:c r="H668" s="16"/>
      <x:c r="I668" s="16"/>
      <x:c r="J668" s="16"/>
      <x:c r="K668" s="16" t="str">
        <x:f>IF(COUNT(G668,I668)=0,"",AVERAGE(G668,I668))</x:f>
      </x:c>
      <x:c r="L668" s="16" t="str">
        <x:f>IF(COUNT(H668,J668)=0,"",AVERAGE(H668,J668))</x:f>
      </x:c>
      <x:c r="M668" s="16" t="str">
        <x:f>IF(OR(K668="",L668=""),"",L668-K668)</x:f>
      </x:c>
      <x:c r="N668" s="16" t="str">
        <x:f>IF(AND(A668=A667,ISNUMBER(K668),ISNUMBER(K667)),K668-K667,"")</x:f>
      </x:c>
      <x:c r="O668" s="13" t="str">
        <x:v>Sem informação</x:v>
      </x:c>
      <x:c r="P668" s="26"/>
      <x:c r="Q668" s="13"/>
      <x:c r="R668" s="13"/>
      <x:c r="S668" s="13"/>
      <x:c r="T668" s="13"/>
    </x:row>
    <x:row r="669">
      <x:c r="A669" s="13" t="str">
        <x:v>Vinicius Junior</x:v>
      </x:c>
      <x:c r="B669" s="13" t="n">
        <x:v>2027</x:v>
      </x:c>
      <x:c r="C669" s="13" t="str">
        <x:v>T4</x:v>
      </x:c>
      <x:c r="D669" s="24" t="n">
        <x:v>46752</x:v>
      </x:c>
      <x:c r="E669" s="13" t="str">
        <x:v>Ponta-esquerda</x:v>
      </x:c>
      <x:c r="F669" s="13" t="str">
        <x:v>Real Madrid CF</x:v>
      </x:c>
      <x:c r="G669" s="16"/>
      <x:c r="H669" s="16"/>
      <x:c r="I669" s="16"/>
      <x:c r="J669" s="16"/>
      <x:c r="K669" s="16" t="str">
        <x:f>IF(COUNT(G669,I669)=0,"",AVERAGE(G669,I669))</x:f>
      </x:c>
      <x:c r="L669" s="16" t="str">
        <x:f>IF(COUNT(H669,J669)=0,"",AVERAGE(H669,J669))</x:f>
      </x:c>
      <x:c r="M669" s="16" t="str">
        <x:f>IF(OR(K669="",L669=""),"",L669-K669)</x:f>
      </x:c>
      <x:c r="N669" s="16" t="str">
        <x:f>IF(AND(A669=A668,ISNUMBER(K669),ISNUMBER(K668)),K669-K668,"")</x:f>
      </x:c>
      <x:c r="O669" s="13" t="str">
        <x:v>Sem informação</x:v>
      </x:c>
      <x:c r="P669" s="26"/>
      <x:c r="Q669" s="13"/>
      <x:c r="R669" s="13"/>
      <x:c r="S669" s="13"/>
      <x:c r="T669" s="13"/>
    </x:row>
    <x:row r="670">
      <x:c r="A670" s="13" t="str">
        <x:v>Vinicius Junior</x:v>
      </x:c>
      <x:c r="B670" s="13" t="n">
        <x:v>2028</x:v>
      </x:c>
      <x:c r="C670" s="13" t="str">
        <x:v>T1</x:v>
      </x:c>
      <x:c r="D670" s="24" t="n">
        <x:v>46843</x:v>
      </x:c>
      <x:c r="E670" s="13" t="str">
        <x:v>Ponta-esquerda</x:v>
      </x:c>
      <x:c r="F670" s="13" t="str">
        <x:v>Real Madrid CF</x:v>
      </x:c>
      <x:c r="G670" s="16"/>
      <x:c r="H670" s="16"/>
      <x:c r="I670" s="16"/>
      <x:c r="J670" s="16"/>
      <x:c r="K670" s="16" t="str">
        <x:f>IF(COUNT(G670,I670)=0,"",AVERAGE(G670,I670))</x:f>
      </x:c>
      <x:c r="L670" s="16" t="str">
        <x:f>IF(COUNT(H670,J670)=0,"",AVERAGE(H670,J670))</x:f>
      </x:c>
      <x:c r="M670" s="16" t="str">
        <x:f>IF(OR(K670="",L670=""),"",L670-K670)</x:f>
      </x:c>
      <x:c r="N670" s="16" t="str">
        <x:f>IF(AND(A670=A669,ISNUMBER(K670),ISNUMBER(K669)),K670-K669,"")</x:f>
      </x:c>
      <x:c r="O670" s="13" t="str">
        <x:v>Sem informação</x:v>
      </x:c>
      <x:c r="P670" s="26"/>
      <x:c r="Q670" s="13"/>
      <x:c r="R670" s="13"/>
      <x:c r="S670" s="13"/>
      <x:c r="T670" s="13"/>
    </x:row>
    <x:row r="671">
      <x:c r="A671" s="13" t="str">
        <x:v>Vinicius Junior</x:v>
      </x:c>
      <x:c r="B671" s="13" t="n">
        <x:v>2028</x:v>
      </x:c>
      <x:c r="C671" s="13" t="str">
        <x:v>T2</x:v>
      </x:c>
      <x:c r="D671" s="24" t="n">
        <x:v>46934</x:v>
      </x:c>
      <x:c r="E671" s="13" t="str">
        <x:v>Ponta-esquerda</x:v>
      </x:c>
      <x:c r="F671" s="13" t="str">
        <x:v>Real Madrid CF</x:v>
      </x:c>
      <x:c r="G671" s="16"/>
      <x:c r="H671" s="16"/>
      <x:c r="I671" s="16"/>
      <x:c r="J671" s="16"/>
      <x:c r="K671" s="16" t="str">
        <x:f>IF(COUNT(G671,I671)=0,"",AVERAGE(G671,I671))</x:f>
      </x:c>
      <x:c r="L671" s="16" t="str">
        <x:f>IF(COUNT(H671,J671)=0,"",AVERAGE(H671,J671))</x:f>
      </x:c>
      <x:c r="M671" s="16" t="str">
        <x:f>IF(OR(K671="",L671=""),"",L671-K671)</x:f>
      </x:c>
      <x:c r="N671" s="16" t="str">
        <x:f>IF(AND(A671=A670,ISNUMBER(K671),ISNUMBER(K670)),K671-K670,"")</x:f>
      </x:c>
      <x:c r="O671" s="13" t="str">
        <x:v>Sem informação</x:v>
      </x:c>
      <x:c r="P671" s="26"/>
      <x:c r="Q671" s="13"/>
      <x:c r="R671" s="13"/>
      <x:c r="S671" s="13"/>
      <x:c r="T671" s="13"/>
    </x:row>
    <x:row r="672">
      <x:c r="A672" s="13" t="str">
        <x:v>Vinicius Junior</x:v>
      </x:c>
      <x:c r="B672" s="13" t="n">
        <x:v>2028</x:v>
      </x:c>
      <x:c r="C672" s="13" t="str">
        <x:v>T3</x:v>
      </x:c>
      <x:c r="D672" s="24" t="n">
        <x:v>47026</x:v>
      </x:c>
      <x:c r="E672" s="13" t="str">
        <x:v>Ponta-esquerda</x:v>
      </x:c>
      <x:c r="F672" s="13" t="str">
        <x:v>Real Madrid CF</x:v>
      </x:c>
      <x:c r="G672" s="16"/>
      <x:c r="H672" s="16"/>
      <x:c r="I672" s="16"/>
      <x:c r="J672" s="16"/>
      <x:c r="K672" s="16" t="str">
        <x:f>IF(COUNT(G672,I672)=0,"",AVERAGE(G672,I672))</x:f>
      </x:c>
      <x:c r="L672" s="16" t="str">
        <x:f>IF(COUNT(H672,J672)=0,"",AVERAGE(H672,J672))</x:f>
      </x:c>
      <x:c r="M672" s="16" t="str">
        <x:f>IF(OR(K672="",L672=""),"",L672-K672)</x:f>
      </x:c>
      <x:c r="N672" s="16" t="str">
        <x:f>IF(AND(A672=A671,ISNUMBER(K672),ISNUMBER(K671)),K672-K671,"")</x:f>
      </x:c>
      <x:c r="O672" s="13" t="str">
        <x:v>Sem informação</x:v>
      </x:c>
      <x:c r="P672" s="26"/>
      <x:c r="Q672" s="13"/>
      <x:c r="R672" s="13"/>
      <x:c r="S672" s="13"/>
      <x:c r="T672" s="13"/>
    </x:row>
    <x:row r="673">
      <x:c r="A673" s="13" t="str">
        <x:v>Vinicius Junior</x:v>
      </x:c>
      <x:c r="B673" s="13" t="n">
        <x:v>2028</x:v>
      </x:c>
      <x:c r="C673" s="13" t="str">
        <x:v>T4</x:v>
      </x:c>
      <x:c r="D673" s="24" t="n">
        <x:v>47118</x:v>
      </x:c>
      <x:c r="E673" s="13" t="str">
        <x:v>Ponta-esquerda</x:v>
      </x:c>
      <x:c r="F673" s="13" t="str">
        <x:v>Real Madrid CF</x:v>
      </x:c>
      <x:c r="G673" s="16"/>
      <x:c r="H673" s="16"/>
      <x:c r="I673" s="16"/>
      <x:c r="J673" s="16"/>
      <x:c r="K673" s="16" t="str">
        <x:f>IF(COUNT(G673,I673)=0,"",AVERAGE(G673,I673))</x:f>
      </x:c>
      <x:c r="L673" s="16" t="str">
        <x:f>IF(COUNT(H673,J673)=0,"",AVERAGE(H673,J673))</x:f>
      </x:c>
      <x:c r="M673" s="16" t="str">
        <x:f>IF(OR(K673="",L673=""),"",L673-K673)</x:f>
      </x:c>
      <x:c r="N673" s="16" t="str">
        <x:f>IF(AND(A673=A672,ISNUMBER(K673),ISNUMBER(K672)),K673-K672,"")</x:f>
      </x:c>
      <x:c r="O673" s="13" t="str">
        <x:v>Sem informação</x:v>
      </x:c>
      <x:c r="P673" s="26"/>
      <x:c r="Q673" s="13"/>
      <x:c r="R673" s="13"/>
      <x:c r="S673" s="13"/>
      <x:c r="T673" s="13"/>
    </x:row>
    <x:row r="674">
      <x:c r="A674" s="13" t="str">
        <x:v>Vinicius Junior</x:v>
      </x:c>
      <x:c r="B674" s="13" t="n">
        <x:v>2029</x:v>
      </x:c>
      <x:c r="C674" s="13" t="str">
        <x:v>T1</x:v>
      </x:c>
      <x:c r="D674" s="24" t="n">
        <x:v>47208</x:v>
      </x:c>
      <x:c r="E674" s="13" t="str">
        <x:v>Ponta-esquerda</x:v>
      </x:c>
      <x:c r="F674" s="13" t="str">
        <x:v>Real Madrid CF</x:v>
      </x:c>
      <x:c r="G674" s="16"/>
      <x:c r="H674" s="16"/>
      <x:c r="I674" s="16"/>
      <x:c r="J674" s="16"/>
      <x:c r="K674" s="16" t="str">
        <x:f>IF(COUNT(G674,I674)=0,"",AVERAGE(G674,I674))</x:f>
      </x:c>
      <x:c r="L674" s="16" t="str">
        <x:f>IF(COUNT(H674,J674)=0,"",AVERAGE(H674,J674))</x:f>
      </x:c>
      <x:c r="M674" s="16" t="str">
        <x:f>IF(OR(K674="",L674=""),"",L674-K674)</x:f>
      </x:c>
      <x:c r="N674" s="16" t="str">
        <x:f>IF(AND(A674=A673,ISNUMBER(K674),ISNUMBER(K673)),K674-K673,"")</x:f>
      </x:c>
      <x:c r="O674" s="13" t="str">
        <x:v>Sem informação</x:v>
      </x:c>
      <x:c r="P674" s="26"/>
      <x:c r="Q674" s="13"/>
      <x:c r="R674" s="13"/>
      <x:c r="S674" s="13"/>
      <x:c r="T674" s="13"/>
    </x:row>
    <x:row r="675">
      <x:c r="A675" s="13" t="str">
        <x:v>Vinicius Junior</x:v>
      </x:c>
      <x:c r="B675" s="13" t="n">
        <x:v>2029</x:v>
      </x:c>
      <x:c r="C675" s="13" t="str">
        <x:v>T2</x:v>
      </x:c>
      <x:c r="D675" s="24" t="n">
        <x:v>47299</x:v>
      </x:c>
      <x:c r="E675" s="13" t="str">
        <x:v>Ponta-esquerda</x:v>
      </x:c>
      <x:c r="F675" s="13" t="str">
        <x:v>Real Madrid CF</x:v>
      </x:c>
      <x:c r="G675" s="16"/>
      <x:c r="H675" s="16"/>
      <x:c r="I675" s="16"/>
      <x:c r="J675" s="16"/>
      <x:c r="K675" s="16" t="str">
        <x:f>IF(COUNT(G675,I675)=0,"",AVERAGE(G675,I675))</x:f>
      </x:c>
      <x:c r="L675" s="16" t="str">
        <x:f>IF(COUNT(H675,J675)=0,"",AVERAGE(H675,J675))</x:f>
      </x:c>
      <x:c r="M675" s="16" t="str">
        <x:f>IF(OR(K675="",L675=""),"",L675-K675)</x:f>
      </x:c>
      <x:c r="N675" s="16" t="str">
        <x:f>IF(AND(A675=A674,ISNUMBER(K675),ISNUMBER(K674)),K675-K674,"")</x:f>
      </x:c>
      <x:c r="O675" s="13" t="str">
        <x:v>Sem informação</x:v>
      </x:c>
      <x:c r="P675" s="26"/>
      <x:c r="Q675" s="13"/>
      <x:c r="R675" s="13"/>
      <x:c r="S675" s="13"/>
      <x:c r="T675" s="13"/>
    </x:row>
    <x:row r="676">
      <x:c r="A676" s="13" t="str">
        <x:v>Vinicius Junior</x:v>
      </x:c>
      <x:c r="B676" s="13" t="n">
        <x:v>2029</x:v>
      </x:c>
      <x:c r="C676" s="13" t="str">
        <x:v>T3</x:v>
      </x:c>
      <x:c r="D676" s="24" t="n">
        <x:v>47391</x:v>
      </x:c>
      <x:c r="E676" s="13" t="str">
        <x:v>Ponta-esquerda</x:v>
      </x:c>
      <x:c r="F676" s="13" t="str">
        <x:v>Real Madrid CF</x:v>
      </x:c>
      <x:c r="G676" s="16"/>
      <x:c r="H676" s="16"/>
      <x:c r="I676" s="16"/>
      <x:c r="J676" s="16"/>
      <x:c r="K676" s="16" t="str">
        <x:f>IF(COUNT(G676,I676)=0,"",AVERAGE(G676,I676))</x:f>
      </x:c>
      <x:c r="L676" s="16" t="str">
        <x:f>IF(COUNT(H676,J676)=0,"",AVERAGE(H676,J676))</x:f>
      </x:c>
      <x:c r="M676" s="16" t="str">
        <x:f>IF(OR(K676="",L676=""),"",L676-K676)</x:f>
      </x:c>
      <x:c r="N676" s="16" t="str">
        <x:f>IF(AND(A676=A675,ISNUMBER(K676),ISNUMBER(K675)),K676-K675,"")</x:f>
      </x:c>
      <x:c r="O676" s="13" t="str">
        <x:v>Sem informação</x:v>
      </x:c>
      <x:c r="P676" s="26"/>
      <x:c r="Q676" s="13"/>
      <x:c r="R676" s="13"/>
      <x:c r="S676" s="13"/>
      <x:c r="T676" s="13"/>
    </x:row>
    <x:row r="677">
      <x:c r="A677" s="13" t="str">
        <x:v>Vinicius Junior</x:v>
      </x:c>
      <x:c r="B677" s="13" t="n">
        <x:v>2029</x:v>
      </x:c>
      <x:c r="C677" s="13" t="str">
        <x:v>T4</x:v>
      </x:c>
      <x:c r="D677" s="24" t="n">
        <x:v>47483</x:v>
      </x:c>
      <x:c r="E677" s="13" t="str">
        <x:v>Ponta-esquerda</x:v>
      </x:c>
      <x:c r="F677" s="13" t="str">
        <x:v>Real Madrid CF</x:v>
      </x:c>
      <x:c r="G677" s="16"/>
      <x:c r="H677" s="16"/>
      <x:c r="I677" s="16"/>
      <x:c r="J677" s="16"/>
      <x:c r="K677" s="16" t="str">
        <x:f>IF(COUNT(G677,I677)=0,"",AVERAGE(G677,I677))</x:f>
      </x:c>
      <x:c r="L677" s="16" t="str">
        <x:f>IF(COUNT(H677,J677)=0,"",AVERAGE(H677,J677))</x:f>
      </x:c>
      <x:c r="M677" s="16" t="str">
        <x:f>IF(OR(K677="",L677=""),"",L677-K677)</x:f>
      </x:c>
      <x:c r="N677" s="16" t="str">
        <x:f>IF(AND(A677=A676,ISNUMBER(K677),ISNUMBER(K676)),K677-K676,"")</x:f>
      </x:c>
      <x:c r="O677" s="13" t="str">
        <x:v>Sem informação</x:v>
      </x:c>
      <x:c r="P677" s="26"/>
      <x:c r="Q677" s="13"/>
      <x:c r="R677" s="13"/>
      <x:c r="S677" s="13"/>
      <x:c r="T677" s="13"/>
    </x:row>
    <x:row r="678">
      <x:c r="A678" s="13" t="str">
        <x:v>Vinicius Junior</x:v>
      </x:c>
      <x:c r="B678" s="13" t="n">
        <x:v>2030</x:v>
      </x:c>
      <x:c r="C678" s="13" t="str">
        <x:v>T1</x:v>
      </x:c>
      <x:c r="D678" s="24" t="n">
        <x:v>47573</x:v>
      </x:c>
      <x:c r="E678" s="13" t="str">
        <x:v>Ponta-esquerda</x:v>
      </x:c>
      <x:c r="F678" s="13" t="str">
        <x:v>Real Madrid CF</x:v>
      </x:c>
      <x:c r="G678" s="16"/>
      <x:c r="H678" s="16"/>
      <x:c r="I678" s="16"/>
      <x:c r="J678" s="16"/>
      <x:c r="K678" s="16" t="str">
        <x:f>IF(COUNT(G678,I678)=0,"",AVERAGE(G678,I678))</x:f>
      </x:c>
      <x:c r="L678" s="16" t="str">
        <x:f>IF(COUNT(H678,J678)=0,"",AVERAGE(H678,J678))</x:f>
      </x:c>
      <x:c r="M678" s="16" t="str">
        <x:f>IF(OR(K678="",L678=""),"",L678-K678)</x:f>
      </x:c>
      <x:c r="N678" s="16" t="str">
        <x:f>IF(AND(A678=A677,ISNUMBER(K678),ISNUMBER(K677)),K678-K677,"")</x:f>
      </x:c>
      <x:c r="O678" s="13" t="str">
        <x:v>Sem informação</x:v>
      </x:c>
      <x:c r="P678" s="26"/>
      <x:c r="Q678" s="13"/>
      <x:c r="R678" s="13"/>
      <x:c r="S678" s="13"/>
      <x:c r="T678" s="13"/>
    </x:row>
    <x:row r="679">
      <x:c r="A679" s="13" t="str">
        <x:v>Vinicius Junior</x:v>
      </x:c>
      <x:c r="B679" s="13" t="n">
        <x:v>2030</x:v>
      </x:c>
      <x:c r="C679" s="13" t="str">
        <x:v>T2</x:v>
      </x:c>
      <x:c r="D679" s="24" t="n">
        <x:v>47664</x:v>
      </x:c>
      <x:c r="E679" s="13" t="str">
        <x:v>Ponta-esquerda</x:v>
      </x:c>
      <x:c r="F679" s="13" t="str">
        <x:v>Real Madrid CF</x:v>
      </x:c>
      <x:c r="G679" s="16"/>
      <x:c r="H679" s="16"/>
      <x:c r="I679" s="16"/>
      <x:c r="J679" s="16"/>
      <x:c r="K679" s="16" t="str">
        <x:f>IF(COUNT(G679,I679)=0,"",AVERAGE(G679,I679))</x:f>
      </x:c>
      <x:c r="L679" s="16" t="str">
        <x:f>IF(COUNT(H679,J679)=0,"",AVERAGE(H679,J679))</x:f>
      </x:c>
      <x:c r="M679" s="16" t="str">
        <x:f>IF(OR(K679="",L679=""),"",L679-K679)</x:f>
      </x:c>
      <x:c r="N679" s="16" t="str">
        <x:f>IF(AND(A679=A678,ISNUMBER(K679),ISNUMBER(K678)),K679-K678,"")</x:f>
      </x:c>
      <x:c r="O679" s="13" t="str">
        <x:v>Sem informação</x:v>
      </x:c>
      <x:c r="P679" s="26"/>
      <x:c r="Q679" s="13"/>
      <x:c r="R679" s="13"/>
      <x:c r="S679" s="13"/>
      <x:c r="T679" s="13"/>
    </x:row>
    <x:row r="680">
      <x:c r="A680" s="13" t="str">
        <x:v>Vinicius Junior</x:v>
      </x:c>
      <x:c r="B680" s="13" t="n">
        <x:v>2030</x:v>
      </x:c>
      <x:c r="C680" s="13" t="str">
        <x:v>T3</x:v>
      </x:c>
      <x:c r="D680" s="24" t="n">
        <x:v>47756</x:v>
      </x:c>
      <x:c r="E680" s="13" t="str">
        <x:v>Ponta-esquerda</x:v>
      </x:c>
      <x:c r="F680" s="13" t="str">
        <x:v>Real Madrid CF</x:v>
      </x:c>
      <x:c r="G680" s="16"/>
      <x:c r="H680" s="16"/>
      <x:c r="I680" s="16"/>
      <x:c r="J680" s="16"/>
      <x:c r="K680" s="16" t="str">
        <x:f>IF(COUNT(G680,I680)=0,"",AVERAGE(G680,I680))</x:f>
      </x:c>
      <x:c r="L680" s="16" t="str">
        <x:f>IF(COUNT(H680,J680)=0,"",AVERAGE(H680,J680))</x:f>
      </x:c>
      <x:c r="M680" s="16" t="str">
        <x:f>IF(OR(K680="",L680=""),"",L680-K680)</x:f>
      </x:c>
      <x:c r="N680" s="16" t="str">
        <x:f>IF(AND(A680=A679,ISNUMBER(K680),ISNUMBER(K679)),K680-K679,"")</x:f>
      </x:c>
      <x:c r="O680" s="13" t="str">
        <x:v>Sem informação</x:v>
      </x:c>
      <x:c r="P680" s="26"/>
      <x:c r="Q680" s="13"/>
      <x:c r="R680" s="13"/>
      <x:c r="S680" s="13"/>
      <x:c r="T680" s="13"/>
    </x:row>
    <x:row r="681">
      <x:c r="A681" s="13" t="str">
        <x:v>Vinicius Junior</x:v>
      </x:c>
      <x:c r="B681" s="13" t="n">
        <x:v>2030</x:v>
      </x:c>
      <x:c r="C681" s="13" t="str">
        <x:v>T4</x:v>
      </x:c>
      <x:c r="D681" s="24" t="n">
        <x:v>47848</x:v>
      </x:c>
      <x:c r="E681" s="13" t="str">
        <x:v>Ponta-esquerda</x:v>
      </x:c>
      <x:c r="F681" s="13" t="str">
        <x:v>Real Madrid CF</x:v>
      </x:c>
      <x:c r="G681" s="16"/>
      <x:c r="H681" s="16"/>
      <x:c r="I681" s="16"/>
      <x:c r="J681" s="16"/>
      <x:c r="K681" s="16" t="str">
        <x:f>IF(COUNT(G681,I681)=0,"",AVERAGE(G681,I681))</x:f>
      </x:c>
      <x:c r="L681" s="16" t="str">
        <x:f>IF(COUNT(H681,J681)=0,"",AVERAGE(H681,J681))</x:f>
      </x:c>
      <x:c r="M681" s="16" t="str">
        <x:f>IF(OR(K681="",L681=""),"",L681-K681)</x:f>
      </x:c>
      <x:c r="N681" s="16" t="str">
        <x:f>IF(AND(A681=A680,ISNUMBER(K681),ISNUMBER(K680)),K681-K680,"")</x:f>
      </x:c>
      <x:c r="O681" s="13" t="str">
        <x:v>Sem informação</x:v>
      </x:c>
      <x:c r="P681" s="26"/>
      <x:c r="Q681" s="13"/>
      <x:c r="R681" s="13"/>
      <x:c r="S681" s="13"/>
      <x:c r="T681" s="13"/>
    </x:row>
    <x:row r="682">
      <x:c r="A682" s="13" t="str">
        <x:v>Wesley França</x:v>
      </x:c>
      <x:c r="B682" s="13" t="n">
        <x:v>2026</x:v>
      </x:c>
      <x:c r="C682" s="13" t="str">
        <x:v>T1</x:v>
      </x:c>
      <x:c r="D682" s="24" t="n">
        <x:v>46112</x:v>
      </x:c>
      <x:c r="E682" s="13" t="str">
        <x:v>Lateral-direito</x:v>
      </x:c>
      <x:c r="F682" s="13" t="str">
        <x:v>AS Roma</x:v>
      </x:c>
      <x:c r="G682" s="16"/>
      <x:c r="H682" s="16"/>
      <x:c r="I682" s="16"/>
      <x:c r="J682" s="16"/>
      <x:c r="K682" s="16" t="str">
        <x:f>IF(COUNT(G682,I682)=0,"",AVERAGE(G682,I682))</x:f>
      </x:c>
      <x:c r="L682" s="16" t="str">
        <x:f>IF(COUNT(H682,J682)=0,"",AVERAGE(H682,J682))</x:f>
      </x:c>
      <x:c r="M682" s="16" t="str">
        <x:f>IF(OR(K682="",L682=""),"",L682-K682)</x:f>
      </x:c>
      <x:c r="N682" s="16" t="str">
        <x:f>IF(AND(A682=A681,ISNUMBER(K682),ISNUMBER(K681)),K682-K681,"")</x:f>
      </x:c>
      <x:c r="O682" s="13" t="str">
        <x:v>Sem informação</x:v>
      </x:c>
      <x:c r="P682" s="26"/>
      <x:c r="Q682" s="13"/>
      <x:c r="R682" s="13"/>
      <x:c r="S682" s="13"/>
      <x:c r="T682" s="13"/>
    </x:row>
    <x:row r="683">
      <x:c r="A683" s="13" t="str">
        <x:v>Wesley França</x:v>
      </x:c>
      <x:c r="B683" s="13" t="n">
        <x:v>2026</x:v>
      </x:c>
      <x:c r="C683" s="13" t="str">
        <x:v>T2</x:v>
      </x:c>
      <x:c r="D683" s="24" t="n">
        <x:v>46203</x:v>
      </x:c>
      <x:c r="E683" s="13" t="str">
        <x:v>Lateral-direito</x:v>
      </x:c>
      <x:c r="F683" s="13" t="str">
        <x:v>AS Roma</x:v>
      </x:c>
      <x:c r="G683" s="16"/>
      <x:c r="H683" s="16"/>
      <x:c r="I683" s="16"/>
      <x:c r="J683" s="16"/>
      <x:c r="K683" s="16" t="str">
        <x:f>IF(COUNT(G683,I683)=0,"",AVERAGE(G683,I683))</x:f>
      </x:c>
      <x:c r="L683" s="16" t="str">
        <x:f>IF(COUNT(H683,J683)=0,"",AVERAGE(H683,J683))</x:f>
      </x:c>
      <x:c r="M683" s="16" t="str">
        <x:f>IF(OR(K683="",L683=""),"",L683-K683)</x:f>
      </x:c>
      <x:c r="N683" s="16" t="str">
        <x:f>IF(AND(A683=A682,ISNUMBER(K683),ISNUMBER(K682)),K683-K682,"")</x:f>
      </x:c>
      <x:c r="O683" s="13" t="str">
        <x:v>Sem informação</x:v>
      </x:c>
      <x:c r="P683" s="26"/>
      <x:c r="Q683" s="13"/>
      <x:c r="R683" s="13"/>
      <x:c r="S683" s="13"/>
      <x:c r="T683" s="13"/>
    </x:row>
    <x:row r="684">
      <x:c r="A684" s="13" t="str">
        <x:v>Wesley França</x:v>
      </x:c>
      <x:c r="B684" s="13" t="n">
        <x:v>2026</x:v>
      </x:c>
      <x:c r="C684" s="13" t="str">
        <x:v>T3</x:v>
      </x:c>
      <x:c r="D684" s="24" t="n">
        <x:v>46295</x:v>
      </x:c>
      <x:c r="E684" s="13" t="str">
        <x:v>Lateral-direito</x:v>
      </x:c>
      <x:c r="F684" s="13" t="str">
        <x:v>AS Roma</x:v>
      </x:c>
      <x:c r="G684" s="16"/>
      <x:c r="H684" s="16"/>
      <x:c r="I684" s="16"/>
      <x:c r="J684" s="16"/>
      <x:c r="K684" s="16" t="str">
        <x:f>IF(COUNT(G684,I684)=0,"",AVERAGE(G684,I684))</x:f>
      </x:c>
      <x:c r="L684" s="16" t="str">
        <x:f>IF(COUNT(H684,J684)=0,"",AVERAGE(H684,J684))</x:f>
      </x:c>
      <x:c r="M684" s="16" t="str">
        <x:f>IF(OR(K684="",L684=""),"",L684-K684)</x:f>
      </x:c>
      <x:c r="N684" s="16" t="str">
        <x:f>IF(AND(A684=A683,ISNUMBER(K684),ISNUMBER(K683)),K684-K683,"")</x:f>
      </x:c>
      <x:c r="O684" s="13" t="str">
        <x:v>Sem informação</x:v>
      </x:c>
      <x:c r="P684" s="26"/>
      <x:c r="Q684" s="13"/>
      <x:c r="R684" s="13"/>
      <x:c r="S684" s="13"/>
      <x:c r="T684" s="13"/>
    </x:row>
    <x:row r="685">
      <x:c r="A685" s="13" t="str">
        <x:v>Wesley França</x:v>
      </x:c>
      <x:c r="B685" s="13" t="n">
        <x:v>2026</x:v>
      </x:c>
      <x:c r="C685" s="13" t="str">
        <x:v>T4</x:v>
      </x:c>
      <x:c r="D685" s="24" t="n">
        <x:v>46387</x:v>
      </x:c>
      <x:c r="E685" s="13" t="str">
        <x:v>Lateral-direito</x:v>
      </x:c>
      <x:c r="F685" s="13" t="str">
        <x:v>AS Roma</x:v>
      </x:c>
      <x:c r="G685" s="16"/>
      <x:c r="H685" s="16"/>
      <x:c r="I685" s="16"/>
      <x:c r="J685" s="16"/>
      <x:c r="K685" s="16" t="str">
        <x:f>IF(COUNT(G685,I685)=0,"",AVERAGE(G685,I685))</x:f>
      </x:c>
      <x:c r="L685" s="16" t="str">
        <x:f>IF(COUNT(H685,J685)=0,"",AVERAGE(H685,J685))</x:f>
      </x:c>
      <x:c r="M685" s="16" t="str">
        <x:f>IF(OR(K685="",L685=""),"",L685-K685)</x:f>
      </x:c>
      <x:c r="N685" s="16" t="str">
        <x:f>IF(AND(A685=A684,ISNUMBER(K685),ISNUMBER(K684)),K685-K684,"")</x:f>
      </x:c>
      <x:c r="O685" s="13" t="str">
        <x:v>Sem informação</x:v>
      </x:c>
      <x:c r="P685" s="26"/>
      <x:c r="Q685" s="13"/>
      <x:c r="R685" s="13"/>
      <x:c r="S685" s="13"/>
      <x:c r="T685" s="13"/>
    </x:row>
    <x:row r="686">
      <x:c r="A686" s="13" t="str">
        <x:v>Wesley França</x:v>
      </x:c>
      <x:c r="B686" s="13" t="n">
        <x:v>2027</x:v>
      </x:c>
      <x:c r="C686" s="13" t="str">
        <x:v>T1</x:v>
      </x:c>
      <x:c r="D686" s="24" t="n">
        <x:v>46477</x:v>
      </x:c>
      <x:c r="E686" s="13" t="str">
        <x:v>Lateral-direito</x:v>
      </x:c>
      <x:c r="F686" s="13" t="str">
        <x:v>AS Roma</x:v>
      </x:c>
      <x:c r="G686" s="16"/>
      <x:c r="H686" s="16"/>
      <x:c r="I686" s="16"/>
      <x:c r="J686" s="16"/>
      <x:c r="K686" s="16" t="str">
        <x:f>IF(COUNT(G686,I686)=0,"",AVERAGE(G686,I686))</x:f>
      </x:c>
      <x:c r="L686" s="16" t="str">
        <x:f>IF(COUNT(H686,J686)=0,"",AVERAGE(H686,J686))</x:f>
      </x:c>
      <x:c r="M686" s="16" t="str">
        <x:f>IF(OR(K686="",L686=""),"",L686-K686)</x:f>
      </x:c>
      <x:c r="N686" s="16" t="str">
        <x:f>IF(AND(A686=A685,ISNUMBER(K686),ISNUMBER(K685)),K686-K685,"")</x:f>
      </x:c>
      <x:c r="O686" s="13" t="str">
        <x:v>Sem informação</x:v>
      </x:c>
      <x:c r="P686" s="26"/>
      <x:c r="Q686" s="13"/>
      <x:c r="R686" s="13"/>
      <x:c r="S686" s="13"/>
      <x:c r="T686" s="13"/>
    </x:row>
    <x:row r="687">
      <x:c r="A687" s="13" t="str">
        <x:v>Wesley França</x:v>
      </x:c>
      <x:c r="B687" s="13" t="n">
        <x:v>2027</x:v>
      </x:c>
      <x:c r="C687" s="13" t="str">
        <x:v>T2</x:v>
      </x:c>
      <x:c r="D687" s="24" t="n">
        <x:v>46568</x:v>
      </x:c>
      <x:c r="E687" s="13" t="str">
        <x:v>Lateral-direito</x:v>
      </x:c>
      <x:c r="F687" s="13" t="str">
        <x:v>AS Roma</x:v>
      </x:c>
      <x:c r="G687" s="16"/>
      <x:c r="H687" s="16"/>
      <x:c r="I687" s="16"/>
      <x:c r="J687" s="16"/>
      <x:c r="K687" s="16" t="str">
        <x:f>IF(COUNT(G687,I687)=0,"",AVERAGE(G687,I687))</x:f>
      </x:c>
      <x:c r="L687" s="16" t="str">
        <x:f>IF(COUNT(H687,J687)=0,"",AVERAGE(H687,J687))</x:f>
      </x:c>
      <x:c r="M687" s="16" t="str">
        <x:f>IF(OR(K687="",L687=""),"",L687-K687)</x:f>
      </x:c>
      <x:c r="N687" s="16" t="str">
        <x:f>IF(AND(A687=A686,ISNUMBER(K687),ISNUMBER(K686)),K687-K686,"")</x:f>
      </x:c>
      <x:c r="O687" s="13" t="str">
        <x:v>Sem informação</x:v>
      </x:c>
      <x:c r="P687" s="26"/>
      <x:c r="Q687" s="13"/>
      <x:c r="R687" s="13"/>
      <x:c r="S687" s="13"/>
      <x:c r="T687" s="13"/>
    </x:row>
    <x:row r="688">
      <x:c r="A688" s="13" t="str">
        <x:v>Wesley França</x:v>
      </x:c>
      <x:c r="B688" s="13" t="n">
        <x:v>2027</x:v>
      </x:c>
      <x:c r="C688" s="13" t="str">
        <x:v>T3</x:v>
      </x:c>
      <x:c r="D688" s="24" t="n">
        <x:v>46660</x:v>
      </x:c>
      <x:c r="E688" s="13" t="str">
        <x:v>Lateral-direito</x:v>
      </x:c>
      <x:c r="F688" s="13" t="str">
        <x:v>AS Roma</x:v>
      </x:c>
      <x:c r="G688" s="16"/>
      <x:c r="H688" s="16"/>
      <x:c r="I688" s="16"/>
      <x:c r="J688" s="16"/>
      <x:c r="K688" s="16" t="str">
        <x:f>IF(COUNT(G688,I688)=0,"",AVERAGE(G688,I688))</x:f>
      </x:c>
      <x:c r="L688" s="16" t="str">
        <x:f>IF(COUNT(H688,J688)=0,"",AVERAGE(H688,J688))</x:f>
      </x:c>
      <x:c r="M688" s="16" t="str">
        <x:f>IF(OR(K688="",L688=""),"",L688-K688)</x:f>
      </x:c>
      <x:c r="N688" s="16" t="str">
        <x:f>IF(AND(A688=A687,ISNUMBER(K688),ISNUMBER(K687)),K688-K687,"")</x:f>
      </x:c>
      <x:c r="O688" s="13" t="str">
        <x:v>Sem informação</x:v>
      </x:c>
      <x:c r="P688" s="26"/>
      <x:c r="Q688" s="13"/>
      <x:c r="R688" s="13"/>
      <x:c r="S688" s="13"/>
      <x:c r="T688" s="13"/>
    </x:row>
    <x:row r="689">
      <x:c r="A689" s="13" t="str">
        <x:v>Wesley França</x:v>
      </x:c>
      <x:c r="B689" s="13" t="n">
        <x:v>2027</x:v>
      </x:c>
      <x:c r="C689" s="13" t="str">
        <x:v>T4</x:v>
      </x:c>
      <x:c r="D689" s="24" t="n">
        <x:v>46752</x:v>
      </x:c>
      <x:c r="E689" s="13" t="str">
        <x:v>Lateral-direito</x:v>
      </x:c>
      <x:c r="F689" s="13" t="str">
        <x:v>AS Roma</x:v>
      </x:c>
      <x:c r="G689" s="16"/>
      <x:c r="H689" s="16"/>
      <x:c r="I689" s="16"/>
      <x:c r="J689" s="16"/>
      <x:c r="K689" s="16" t="str">
        <x:f>IF(COUNT(G689,I689)=0,"",AVERAGE(G689,I689))</x:f>
      </x:c>
      <x:c r="L689" s="16" t="str">
        <x:f>IF(COUNT(H689,J689)=0,"",AVERAGE(H689,J689))</x:f>
      </x:c>
      <x:c r="M689" s="16" t="str">
        <x:f>IF(OR(K689="",L689=""),"",L689-K689)</x:f>
      </x:c>
      <x:c r="N689" s="16" t="str">
        <x:f>IF(AND(A689=A688,ISNUMBER(K689),ISNUMBER(K688)),K689-K688,"")</x:f>
      </x:c>
      <x:c r="O689" s="13" t="str">
        <x:v>Sem informação</x:v>
      </x:c>
      <x:c r="P689" s="26"/>
      <x:c r="Q689" s="13"/>
      <x:c r="R689" s="13"/>
      <x:c r="S689" s="13"/>
      <x:c r="T689" s="13"/>
    </x:row>
    <x:row r="690">
      <x:c r="A690" s="13" t="str">
        <x:v>Wesley França</x:v>
      </x:c>
      <x:c r="B690" s="13" t="n">
        <x:v>2028</x:v>
      </x:c>
      <x:c r="C690" s="13" t="str">
        <x:v>T1</x:v>
      </x:c>
      <x:c r="D690" s="24" t="n">
        <x:v>46843</x:v>
      </x:c>
      <x:c r="E690" s="13" t="str">
        <x:v>Lateral-direito</x:v>
      </x:c>
      <x:c r="F690" s="13" t="str">
        <x:v>AS Roma</x:v>
      </x:c>
      <x:c r="G690" s="16"/>
      <x:c r="H690" s="16"/>
      <x:c r="I690" s="16"/>
      <x:c r="J690" s="16"/>
      <x:c r="K690" s="16" t="str">
        <x:f>IF(COUNT(G690,I690)=0,"",AVERAGE(G690,I690))</x:f>
      </x:c>
      <x:c r="L690" s="16" t="str">
        <x:f>IF(COUNT(H690,J690)=0,"",AVERAGE(H690,J690))</x:f>
      </x:c>
      <x:c r="M690" s="16" t="str">
        <x:f>IF(OR(K690="",L690=""),"",L690-K690)</x:f>
      </x:c>
      <x:c r="N690" s="16" t="str">
        <x:f>IF(AND(A690=A689,ISNUMBER(K690),ISNUMBER(K689)),K690-K689,"")</x:f>
      </x:c>
      <x:c r="O690" s="13" t="str">
        <x:v>Sem informação</x:v>
      </x:c>
      <x:c r="P690" s="26"/>
      <x:c r="Q690" s="13"/>
      <x:c r="R690" s="13"/>
      <x:c r="S690" s="13"/>
      <x:c r="T690" s="13"/>
    </x:row>
    <x:row r="691">
      <x:c r="A691" s="13" t="str">
        <x:v>Wesley França</x:v>
      </x:c>
      <x:c r="B691" s="13" t="n">
        <x:v>2028</x:v>
      </x:c>
      <x:c r="C691" s="13" t="str">
        <x:v>T2</x:v>
      </x:c>
      <x:c r="D691" s="24" t="n">
        <x:v>46934</x:v>
      </x:c>
      <x:c r="E691" s="13" t="str">
        <x:v>Lateral-direito</x:v>
      </x:c>
      <x:c r="F691" s="13" t="str">
        <x:v>AS Roma</x:v>
      </x:c>
      <x:c r="G691" s="16"/>
      <x:c r="H691" s="16"/>
      <x:c r="I691" s="16"/>
      <x:c r="J691" s="16"/>
      <x:c r="K691" s="16" t="str">
        <x:f>IF(COUNT(G691,I691)=0,"",AVERAGE(G691,I691))</x:f>
      </x:c>
      <x:c r="L691" s="16" t="str">
        <x:f>IF(COUNT(H691,J691)=0,"",AVERAGE(H691,J691))</x:f>
      </x:c>
      <x:c r="M691" s="16" t="str">
        <x:f>IF(OR(K691="",L691=""),"",L691-K691)</x:f>
      </x:c>
      <x:c r="N691" s="16" t="str">
        <x:f>IF(AND(A691=A690,ISNUMBER(K691),ISNUMBER(K690)),K691-K690,"")</x:f>
      </x:c>
      <x:c r="O691" s="13" t="str">
        <x:v>Sem informação</x:v>
      </x:c>
      <x:c r="P691" s="26"/>
      <x:c r="Q691" s="13"/>
      <x:c r="R691" s="13"/>
      <x:c r="S691" s="13"/>
      <x:c r="T691" s="13"/>
    </x:row>
    <x:row r="692">
      <x:c r="A692" s="13" t="str">
        <x:v>Wesley França</x:v>
      </x:c>
      <x:c r="B692" s="13" t="n">
        <x:v>2028</x:v>
      </x:c>
      <x:c r="C692" s="13" t="str">
        <x:v>T3</x:v>
      </x:c>
      <x:c r="D692" s="24" t="n">
        <x:v>47026</x:v>
      </x:c>
      <x:c r="E692" s="13" t="str">
        <x:v>Lateral-direito</x:v>
      </x:c>
      <x:c r="F692" s="13" t="str">
        <x:v>AS Roma</x:v>
      </x:c>
      <x:c r="G692" s="16"/>
      <x:c r="H692" s="16"/>
      <x:c r="I692" s="16"/>
      <x:c r="J692" s="16"/>
      <x:c r="K692" s="16" t="str">
        <x:f>IF(COUNT(G692,I692)=0,"",AVERAGE(G692,I692))</x:f>
      </x:c>
      <x:c r="L692" s="16" t="str">
        <x:f>IF(COUNT(H692,J692)=0,"",AVERAGE(H692,J692))</x:f>
      </x:c>
      <x:c r="M692" s="16" t="str">
        <x:f>IF(OR(K692="",L692=""),"",L692-K692)</x:f>
      </x:c>
      <x:c r="N692" s="16" t="str">
        <x:f>IF(AND(A692=A691,ISNUMBER(K692),ISNUMBER(K691)),K692-K691,"")</x:f>
      </x:c>
      <x:c r="O692" s="13" t="str">
        <x:v>Sem informação</x:v>
      </x:c>
      <x:c r="P692" s="26"/>
      <x:c r="Q692" s="13"/>
      <x:c r="R692" s="13"/>
      <x:c r="S692" s="13"/>
      <x:c r="T692" s="13"/>
    </x:row>
    <x:row r="693">
      <x:c r="A693" s="13" t="str">
        <x:v>Wesley França</x:v>
      </x:c>
      <x:c r="B693" s="13" t="n">
        <x:v>2028</x:v>
      </x:c>
      <x:c r="C693" s="13" t="str">
        <x:v>T4</x:v>
      </x:c>
      <x:c r="D693" s="24" t="n">
        <x:v>47118</x:v>
      </x:c>
      <x:c r="E693" s="13" t="str">
        <x:v>Lateral-direito</x:v>
      </x:c>
      <x:c r="F693" s="13" t="str">
        <x:v>AS Roma</x:v>
      </x:c>
      <x:c r="G693" s="16"/>
      <x:c r="H693" s="16"/>
      <x:c r="I693" s="16"/>
      <x:c r="J693" s="16"/>
      <x:c r="K693" s="16" t="str">
        <x:f>IF(COUNT(G693,I693)=0,"",AVERAGE(G693,I693))</x:f>
      </x:c>
      <x:c r="L693" s="16" t="str">
        <x:f>IF(COUNT(H693,J693)=0,"",AVERAGE(H693,J693))</x:f>
      </x:c>
      <x:c r="M693" s="16" t="str">
        <x:f>IF(OR(K693="",L693=""),"",L693-K693)</x:f>
      </x:c>
      <x:c r="N693" s="16" t="str">
        <x:f>IF(AND(A693=A692,ISNUMBER(K693),ISNUMBER(K692)),K693-K692,"")</x:f>
      </x:c>
      <x:c r="O693" s="13" t="str">
        <x:v>Sem informação</x:v>
      </x:c>
      <x:c r="P693" s="26"/>
      <x:c r="Q693" s="13"/>
      <x:c r="R693" s="13"/>
      <x:c r="S693" s="13"/>
      <x:c r="T693" s="13"/>
    </x:row>
    <x:row r="694">
      <x:c r="A694" s="13" t="str">
        <x:v>Wesley França</x:v>
      </x:c>
      <x:c r="B694" s="13" t="n">
        <x:v>2029</x:v>
      </x:c>
      <x:c r="C694" s="13" t="str">
        <x:v>T1</x:v>
      </x:c>
      <x:c r="D694" s="24" t="n">
        <x:v>47208</x:v>
      </x:c>
      <x:c r="E694" s="13" t="str">
        <x:v>Lateral-direito</x:v>
      </x:c>
      <x:c r="F694" s="13" t="str">
        <x:v>AS Roma</x:v>
      </x:c>
      <x:c r="G694" s="16"/>
      <x:c r="H694" s="16"/>
      <x:c r="I694" s="16"/>
      <x:c r="J694" s="16"/>
      <x:c r="K694" s="16" t="str">
        <x:f>IF(COUNT(G694,I694)=0,"",AVERAGE(G694,I694))</x:f>
      </x:c>
      <x:c r="L694" s="16" t="str">
        <x:f>IF(COUNT(H694,J694)=0,"",AVERAGE(H694,J694))</x:f>
      </x:c>
      <x:c r="M694" s="16" t="str">
        <x:f>IF(OR(K694="",L694=""),"",L694-K694)</x:f>
      </x:c>
      <x:c r="N694" s="16" t="str">
        <x:f>IF(AND(A694=A693,ISNUMBER(K694),ISNUMBER(K693)),K694-K693,"")</x:f>
      </x:c>
      <x:c r="O694" s="13" t="str">
        <x:v>Sem informação</x:v>
      </x:c>
      <x:c r="P694" s="26"/>
      <x:c r="Q694" s="13"/>
      <x:c r="R694" s="13"/>
      <x:c r="S694" s="13"/>
      <x:c r="T694" s="13"/>
    </x:row>
    <x:row r="695">
      <x:c r="A695" s="13" t="str">
        <x:v>Wesley França</x:v>
      </x:c>
      <x:c r="B695" s="13" t="n">
        <x:v>2029</x:v>
      </x:c>
      <x:c r="C695" s="13" t="str">
        <x:v>T2</x:v>
      </x:c>
      <x:c r="D695" s="24" t="n">
        <x:v>47299</x:v>
      </x:c>
      <x:c r="E695" s="13" t="str">
        <x:v>Lateral-direito</x:v>
      </x:c>
      <x:c r="F695" s="13" t="str">
        <x:v>AS Roma</x:v>
      </x:c>
      <x:c r="G695" s="16"/>
      <x:c r="H695" s="16"/>
      <x:c r="I695" s="16"/>
      <x:c r="J695" s="16"/>
      <x:c r="K695" s="16" t="str">
        <x:f>IF(COUNT(G695,I695)=0,"",AVERAGE(G695,I695))</x:f>
      </x:c>
      <x:c r="L695" s="16" t="str">
        <x:f>IF(COUNT(H695,J695)=0,"",AVERAGE(H695,J695))</x:f>
      </x:c>
      <x:c r="M695" s="16" t="str">
        <x:f>IF(OR(K695="",L695=""),"",L695-K695)</x:f>
      </x:c>
      <x:c r="N695" s="16" t="str">
        <x:f>IF(AND(A695=A694,ISNUMBER(K695),ISNUMBER(K694)),K695-K694,"")</x:f>
      </x:c>
      <x:c r="O695" s="13" t="str">
        <x:v>Sem informação</x:v>
      </x:c>
      <x:c r="P695" s="26"/>
      <x:c r="Q695" s="13"/>
      <x:c r="R695" s="13"/>
      <x:c r="S695" s="13"/>
      <x:c r="T695" s="13"/>
    </x:row>
    <x:row r="696">
      <x:c r="A696" s="13" t="str">
        <x:v>Wesley França</x:v>
      </x:c>
      <x:c r="B696" s="13" t="n">
        <x:v>2029</x:v>
      </x:c>
      <x:c r="C696" s="13" t="str">
        <x:v>T3</x:v>
      </x:c>
      <x:c r="D696" s="24" t="n">
        <x:v>47391</x:v>
      </x:c>
      <x:c r="E696" s="13" t="str">
        <x:v>Lateral-direito</x:v>
      </x:c>
      <x:c r="F696" s="13" t="str">
        <x:v>AS Roma</x:v>
      </x:c>
      <x:c r="G696" s="16"/>
      <x:c r="H696" s="16"/>
      <x:c r="I696" s="16"/>
      <x:c r="J696" s="16"/>
      <x:c r="K696" s="16" t="str">
        <x:f>IF(COUNT(G696,I696)=0,"",AVERAGE(G696,I696))</x:f>
      </x:c>
      <x:c r="L696" s="16" t="str">
        <x:f>IF(COUNT(H696,J696)=0,"",AVERAGE(H696,J696))</x:f>
      </x:c>
      <x:c r="M696" s="16" t="str">
        <x:f>IF(OR(K696="",L696=""),"",L696-K696)</x:f>
      </x:c>
      <x:c r="N696" s="16" t="str">
        <x:f>IF(AND(A696=A695,ISNUMBER(K696),ISNUMBER(K695)),K696-K695,"")</x:f>
      </x:c>
      <x:c r="O696" s="13" t="str">
        <x:v>Sem informação</x:v>
      </x:c>
      <x:c r="P696" s="26"/>
      <x:c r="Q696" s="13"/>
      <x:c r="R696" s="13"/>
      <x:c r="S696" s="13"/>
      <x:c r="T696" s="13"/>
    </x:row>
    <x:row r="697">
      <x:c r="A697" s="13" t="str">
        <x:v>Wesley França</x:v>
      </x:c>
      <x:c r="B697" s="13" t="n">
        <x:v>2029</x:v>
      </x:c>
      <x:c r="C697" s="13" t="str">
        <x:v>T4</x:v>
      </x:c>
      <x:c r="D697" s="24" t="n">
        <x:v>47483</x:v>
      </x:c>
      <x:c r="E697" s="13" t="str">
        <x:v>Lateral-direito</x:v>
      </x:c>
      <x:c r="F697" s="13" t="str">
        <x:v>AS Roma</x:v>
      </x:c>
      <x:c r="G697" s="16"/>
      <x:c r="H697" s="16"/>
      <x:c r="I697" s="16"/>
      <x:c r="J697" s="16"/>
      <x:c r="K697" s="16" t="str">
        <x:f>IF(COUNT(G697,I697)=0,"",AVERAGE(G697,I697))</x:f>
      </x:c>
      <x:c r="L697" s="16" t="str">
        <x:f>IF(COUNT(H697,J697)=0,"",AVERAGE(H697,J697))</x:f>
      </x:c>
      <x:c r="M697" s="16" t="str">
        <x:f>IF(OR(K697="",L697=""),"",L697-K697)</x:f>
      </x:c>
      <x:c r="N697" s="16" t="str">
        <x:f>IF(AND(A697=A696,ISNUMBER(K697),ISNUMBER(K696)),K697-K696,"")</x:f>
      </x:c>
      <x:c r="O697" s="13" t="str">
        <x:v>Sem informação</x:v>
      </x:c>
      <x:c r="P697" s="26"/>
      <x:c r="Q697" s="13"/>
      <x:c r="R697" s="13"/>
      <x:c r="S697" s="13"/>
      <x:c r="T697" s="13"/>
    </x:row>
    <x:row r="698">
      <x:c r="A698" s="13" t="str">
        <x:v>Wesley França</x:v>
      </x:c>
      <x:c r="B698" s="13" t="n">
        <x:v>2030</x:v>
      </x:c>
      <x:c r="C698" s="13" t="str">
        <x:v>T1</x:v>
      </x:c>
      <x:c r="D698" s="24" t="n">
        <x:v>47573</x:v>
      </x:c>
      <x:c r="E698" s="13" t="str">
        <x:v>Lateral-direito</x:v>
      </x:c>
      <x:c r="F698" s="13" t="str">
        <x:v>AS Roma</x:v>
      </x:c>
      <x:c r="G698" s="16"/>
      <x:c r="H698" s="16"/>
      <x:c r="I698" s="16"/>
      <x:c r="J698" s="16"/>
      <x:c r="K698" s="16" t="str">
        <x:f>IF(COUNT(G698,I698)=0,"",AVERAGE(G698,I698))</x:f>
      </x:c>
      <x:c r="L698" s="16" t="str">
        <x:f>IF(COUNT(H698,J698)=0,"",AVERAGE(H698,J698))</x:f>
      </x:c>
      <x:c r="M698" s="16" t="str">
        <x:f>IF(OR(K698="",L698=""),"",L698-K698)</x:f>
      </x:c>
      <x:c r="N698" s="16" t="str">
        <x:f>IF(AND(A698=A697,ISNUMBER(K698),ISNUMBER(K697)),K698-K697,"")</x:f>
      </x:c>
      <x:c r="O698" s="13" t="str">
        <x:v>Sem informação</x:v>
      </x:c>
      <x:c r="P698" s="26"/>
      <x:c r="Q698" s="13"/>
      <x:c r="R698" s="13"/>
      <x:c r="S698" s="13"/>
      <x:c r="T698" s="13"/>
    </x:row>
    <x:row r="699">
      <x:c r="A699" s="13" t="str">
        <x:v>Wesley França</x:v>
      </x:c>
      <x:c r="B699" s="13" t="n">
        <x:v>2030</x:v>
      </x:c>
      <x:c r="C699" s="13" t="str">
        <x:v>T2</x:v>
      </x:c>
      <x:c r="D699" s="24" t="n">
        <x:v>47664</x:v>
      </x:c>
      <x:c r="E699" s="13" t="str">
        <x:v>Lateral-direito</x:v>
      </x:c>
      <x:c r="F699" s="13" t="str">
        <x:v>AS Roma</x:v>
      </x:c>
      <x:c r="G699" s="16"/>
      <x:c r="H699" s="16"/>
      <x:c r="I699" s="16"/>
      <x:c r="J699" s="16"/>
      <x:c r="K699" s="16" t="str">
        <x:f>IF(COUNT(G699,I699)=0,"",AVERAGE(G699,I699))</x:f>
      </x:c>
      <x:c r="L699" s="16" t="str">
        <x:f>IF(COUNT(H699,J699)=0,"",AVERAGE(H699,J699))</x:f>
      </x:c>
      <x:c r="M699" s="16" t="str">
        <x:f>IF(OR(K699="",L699=""),"",L699-K699)</x:f>
      </x:c>
      <x:c r="N699" s="16" t="str">
        <x:f>IF(AND(A699=A698,ISNUMBER(K699),ISNUMBER(K698)),K699-K698,"")</x:f>
      </x:c>
      <x:c r="O699" s="13" t="str">
        <x:v>Sem informação</x:v>
      </x:c>
      <x:c r="P699" s="26"/>
      <x:c r="Q699" s="13"/>
      <x:c r="R699" s="13"/>
      <x:c r="S699" s="13"/>
      <x:c r="T699" s="13"/>
    </x:row>
    <x:row r="700">
      <x:c r="A700" s="13" t="str">
        <x:v>Wesley França</x:v>
      </x:c>
      <x:c r="B700" s="13" t="n">
        <x:v>2030</x:v>
      </x:c>
      <x:c r="C700" s="13" t="str">
        <x:v>T3</x:v>
      </x:c>
      <x:c r="D700" s="24" t="n">
        <x:v>47756</x:v>
      </x:c>
      <x:c r="E700" s="13" t="str">
        <x:v>Lateral-direito</x:v>
      </x:c>
      <x:c r="F700" s="13" t="str">
        <x:v>AS Roma</x:v>
      </x:c>
      <x:c r="G700" s="16"/>
      <x:c r="H700" s="16"/>
      <x:c r="I700" s="16"/>
      <x:c r="J700" s="16"/>
      <x:c r="K700" s="16" t="str">
        <x:f>IF(COUNT(G700,I700)=0,"",AVERAGE(G700,I700))</x:f>
      </x:c>
      <x:c r="L700" s="16" t="str">
        <x:f>IF(COUNT(H700,J700)=0,"",AVERAGE(H700,J700))</x:f>
      </x:c>
      <x:c r="M700" s="16" t="str">
        <x:f>IF(OR(K700="",L700=""),"",L700-K700)</x:f>
      </x:c>
      <x:c r="N700" s="16" t="str">
        <x:f>IF(AND(A700=A699,ISNUMBER(K700),ISNUMBER(K699)),K700-K699,"")</x:f>
      </x:c>
      <x:c r="O700" s="13" t="str">
        <x:v>Sem informação</x:v>
      </x:c>
      <x:c r="P700" s="26"/>
      <x:c r="Q700" s="13"/>
      <x:c r="R700" s="13"/>
      <x:c r="S700" s="13"/>
      <x:c r="T700" s="13"/>
    </x:row>
    <x:row r="701">
      <x:c r="A701" s="13" t="str">
        <x:v>Wesley França</x:v>
      </x:c>
      <x:c r="B701" s="13" t="n">
        <x:v>2030</x:v>
      </x:c>
      <x:c r="C701" s="13" t="str">
        <x:v>T4</x:v>
      </x:c>
      <x:c r="D701" s="24" t="n">
        <x:v>47848</x:v>
      </x:c>
      <x:c r="E701" s="13" t="str">
        <x:v>Lateral-direito</x:v>
      </x:c>
      <x:c r="F701" s="13" t="str">
        <x:v>AS Roma</x:v>
      </x:c>
      <x:c r="G701" s="16"/>
      <x:c r="H701" s="16"/>
      <x:c r="I701" s="16"/>
      <x:c r="J701" s="16"/>
      <x:c r="K701" s="16" t="str">
        <x:f>IF(COUNT(G701,I701)=0,"",AVERAGE(G701,I701))</x:f>
      </x:c>
      <x:c r="L701" s="16" t="str">
        <x:f>IF(COUNT(H701,J701)=0,"",AVERAGE(H701,J701))</x:f>
      </x:c>
      <x:c r="M701" s="16" t="str">
        <x:f>IF(OR(K701="",L701=""),"",L701-K701)</x:f>
      </x:c>
      <x:c r="N701" s="16" t="str">
        <x:f>IF(AND(A701=A700,ISNUMBER(K701),ISNUMBER(K700)),K701-K700,"")</x:f>
      </x:c>
      <x:c r="O701" s="13" t="str">
        <x:v>Sem informação</x:v>
      </x:c>
      <x:c r="P701" s="26"/>
      <x:c r="Q701" s="13"/>
      <x:c r="R701" s="13"/>
      <x:c r="S701" s="13"/>
      <x:c r="T701" s="13"/>
    </x:row>
    <x:row r="702">
      <x:c r="A702" s="13" t="str">
        <x:v>Yan Couto</x:v>
      </x:c>
      <x:c r="B702" s="13" t="n">
        <x:v>2026</x:v>
      </x:c>
      <x:c r="C702" s="13" t="str">
        <x:v>T1</x:v>
      </x:c>
      <x:c r="D702" s="24" t="n">
        <x:v>46112</x:v>
      </x:c>
      <x:c r="E702" s="13" t="str">
        <x:v>Lateral-direito</x:v>
      </x:c>
      <x:c r="F702" s="13" t="str">
        <x:v>Borussia Dortmund</x:v>
      </x:c>
      <x:c r="G702" s="16"/>
      <x:c r="H702" s="16"/>
      <x:c r="I702" s="16"/>
      <x:c r="J702" s="16"/>
      <x:c r="K702" s="16" t="str">
        <x:f>IF(COUNT(G702,I702)=0,"",AVERAGE(G702,I702))</x:f>
      </x:c>
      <x:c r="L702" s="16" t="str">
        <x:f>IF(COUNT(H702,J702)=0,"",AVERAGE(H702,J702))</x:f>
      </x:c>
      <x:c r="M702" s="16" t="str">
        <x:f>IF(OR(K702="",L702=""),"",L702-K702)</x:f>
      </x:c>
      <x:c r="N702" s="16" t="str">
        <x:f>IF(AND(A702=A701,ISNUMBER(K702),ISNUMBER(K701)),K702-K701,"")</x:f>
      </x:c>
      <x:c r="O702" s="13" t="str">
        <x:v>Sem informação</x:v>
      </x:c>
      <x:c r="P702" s="26"/>
      <x:c r="Q702" s="13"/>
      <x:c r="R702" s="13"/>
      <x:c r="S702" s="13"/>
      <x:c r="T702" s="13"/>
    </x:row>
    <x:row r="703">
      <x:c r="A703" s="13" t="str">
        <x:v>Yan Couto</x:v>
      </x:c>
      <x:c r="B703" s="13" t="n">
        <x:v>2026</x:v>
      </x:c>
      <x:c r="C703" s="13" t="str">
        <x:v>T2</x:v>
      </x:c>
      <x:c r="D703" s="24" t="n">
        <x:v>46203</x:v>
      </x:c>
      <x:c r="E703" s="13" t="str">
        <x:v>Lateral-direito</x:v>
      </x:c>
      <x:c r="F703" s="13" t="str">
        <x:v>Borussia Dortmund</x:v>
      </x:c>
      <x:c r="G703" s="16"/>
      <x:c r="H703" s="16"/>
      <x:c r="I703" s="16"/>
      <x:c r="J703" s="16"/>
      <x:c r="K703" s="16" t="str">
        <x:f>IF(COUNT(G703,I703)=0,"",AVERAGE(G703,I703))</x:f>
      </x:c>
      <x:c r="L703" s="16" t="str">
        <x:f>IF(COUNT(H703,J703)=0,"",AVERAGE(H703,J703))</x:f>
      </x:c>
      <x:c r="M703" s="16" t="str">
        <x:f>IF(OR(K703="",L703=""),"",L703-K703)</x:f>
      </x:c>
      <x:c r="N703" s="16" t="str">
        <x:f>IF(AND(A703=A702,ISNUMBER(K703),ISNUMBER(K702)),K703-K702,"")</x:f>
      </x:c>
      <x:c r="O703" s="13" t="str">
        <x:v>Sem informação</x:v>
      </x:c>
      <x:c r="P703" s="26"/>
      <x:c r="Q703" s="13"/>
      <x:c r="R703" s="13"/>
      <x:c r="S703" s="13"/>
      <x:c r="T703" s="13"/>
    </x:row>
    <x:row r="704">
      <x:c r="A704" s="13" t="str">
        <x:v>Yan Couto</x:v>
      </x:c>
      <x:c r="B704" s="13" t="n">
        <x:v>2026</x:v>
      </x:c>
      <x:c r="C704" s="13" t="str">
        <x:v>T3</x:v>
      </x:c>
      <x:c r="D704" s="24" t="n">
        <x:v>46295</x:v>
      </x:c>
      <x:c r="E704" s="13" t="str">
        <x:v>Lateral-direito</x:v>
      </x:c>
      <x:c r="F704" s="13" t="str">
        <x:v>Borussia Dortmund</x:v>
      </x:c>
      <x:c r="G704" s="16"/>
      <x:c r="H704" s="16"/>
      <x:c r="I704" s="16"/>
      <x:c r="J704" s="16"/>
      <x:c r="K704" s="16" t="str">
        <x:f>IF(COUNT(G704,I704)=0,"",AVERAGE(G704,I704))</x:f>
      </x:c>
      <x:c r="L704" s="16" t="str">
        <x:f>IF(COUNT(H704,J704)=0,"",AVERAGE(H704,J704))</x:f>
      </x:c>
      <x:c r="M704" s="16" t="str">
        <x:f>IF(OR(K704="",L704=""),"",L704-K704)</x:f>
      </x:c>
      <x:c r="N704" s="16" t="str">
        <x:f>IF(AND(A704=A703,ISNUMBER(K704),ISNUMBER(K703)),K704-K703,"")</x:f>
      </x:c>
      <x:c r="O704" s="13" t="str">
        <x:v>Sem informação</x:v>
      </x:c>
      <x:c r="P704" s="26"/>
      <x:c r="Q704" s="13"/>
      <x:c r="R704" s="13"/>
      <x:c r="S704" s="13"/>
      <x:c r="T704" s="13"/>
    </x:row>
    <x:row r="705">
      <x:c r="A705" s="13" t="str">
        <x:v>Yan Couto</x:v>
      </x:c>
      <x:c r="B705" s="13" t="n">
        <x:v>2026</x:v>
      </x:c>
      <x:c r="C705" s="13" t="str">
        <x:v>T4</x:v>
      </x:c>
      <x:c r="D705" s="24" t="n">
        <x:v>46387</x:v>
      </x:c>
      <x:c r="E705" s="13" t="str">
        <x:v>Lateral-direito</x:v>
      </x:c>
      <x:c r="F705" s="13" t="str">
        <x:v>Borussia Dortmund</x:v>
      </x:c>
      <x:c r="G705" s="16"/>
      <x:c r="H705" s="16"/>
      <x:c r="I705" s="16"/>
      <x:c r="J705" s="16"/>
      <x:c r="K705" s="16" t="str">
        <x:f>IF(COUNT(G705,I705)=0,"",AVERAGE(G705,I705))</x:f>
      </x:c>
      <x:c r="L705" s="16" t="str">
        <x:f>IF(COUNT(H705,J705)=0,"",AVERAGE(H705,J705))</x:f>
      </x:c>
      <x:c r="M705" s="16" t="str">
        <x:f>IF(OR(K705="",L705=""),"",L705-K705)</x:f>
      </x:c>
      <x:c r="N705" s="16" t="str">
        <x:f>IF(AND(A705=A704,ISNUMBER(K705),ISNUMBER(K704)),K705-K704,"")</x:f>
      </x:c>
      <x:c r="O705" s="13" t="str">
        <x:v>Sem informação</x:v>
      </x:c>
      <x:c r="P705" s="26"/>
      <x:c r="Q705" s="13"/>
      <x:c r="R705" s="13"/>
      <x:c r="S705" s="13"/>
      <x:c r="T705" s="13"/>
    </x:row>
    <x:row r="706">
      <x:c r="A706" s="13" t="str">
        <x:v>Yan Couto</x:v>
      </x:c>
      <x:c r="B706" s="13" t="n">
        <x:v>2027</x:v>
      </x:c>
      <x:c r="C706" s="13" t="str">
        <x:v>T1</x:v>
      </x:c>
      <x:c r="D706" s="24" t="n">
        <x:v>46477</x:v>
      </x:c>
      <x:c r="E706" s="13" t="str">
        <x:v>Lateral-direito</x:v>
      </x:c>
      <x:c r="F706" s="13" t="str">
        <x:v>Borussia Dortmund</x:v>
      </x:c>
      <x:c r="G706" s="16"/>
      <x:c r="H706" s="16"/>
      <x:c r="I706" s="16"/>
      <x:c r="J706" s="16"/>
      <x:c r="K706" s="16" t="str">
        <x:f>IF(COUNT(G706,I706)=0,"",AVERAGE(G706,I706))</x:f>
      </x:c>
      <x:c r="L706" s="16" t="str">
        <x:f>IF(COUNT(H706,J706)=0,"",AVERAGE(H706,J706))</x:f>
      </x:c>
      <x:c r="M706" s="16" t="str">
        <x:f>IF(OR(K706="",L706=""),"",L706-K706)</x:f>
      </x:c>
      <x:c r="N706" s="16" t="str">
        <x:f>IF(AND(A706=A705,ISNUMBER(K706),ISNUMBER(K705)),K706-K705,"")</x:f>
      </x:c>
      <x:c r="O706" s="13" t="str">
        <x:v>Sem informação</x:v>
      </x:c>
      <x:c r="P706" s="26"/>
      <x:c r="Q706" s="13"/>
      <x:c r="R706" s="13"/>
      <x:c r="S706" s="13"/>
      <x:c r="T706" s="13"/>
    </x:row>
    <x:row r="707">
      <x:c r="A707" s="13" t="str">
        <x:v>Yan Couto</x:v>
      </x:c>
      <x:c r="B707" s="13" t="n">
        <x:v>2027</x:v>
      </x:c>
      <x:c r="C707" s="13" t="str">
        <x:v>T2</x:v>
      </x:c>
      <x:c r="D707" s="24" t="n">
        <x:v>46568</x:v>
      </x:c>
      <x:c r="E707" s="13" t="str">
        <x:v>Lateral-direito</x:v>
      </x:c>
      <x:c r="F707" s="13" t="str">
        <x:v>Borussia Dortmund</x:v>
      </x:c>
      <x:c r="G707" s="16"/>
      <x:c r="H707" s="16"/>
      <x:c r="I707" s="16"/>
      <x:c r="J707" s="16"/>
      <x:c r="K707" s="16" t="str">
        <x:f>IF(COUNT(G707,I707)=0,"",AVERAGE(G707,I707))</x:f>
      </x:c>
      <x:c r="L707" s="16" t="str">
        <x:f>IF(COUNT(H707,J707)=0,"",AVERAGE(H707,J707))</x:f>
      </x:c>
      <x:c r="M707" s="16" t="str">
        <x:f>IF(OR(K707="",L707=""),"",L707-K707)</x:f>
      </x:c>
      <x:c r="N707" s="16" t="str">
        <x:f>IF(AND(A707=A706,ISNUMBER(K707),ISNUMBER(K706)),K707-K706,"")</x:f>
      </x:c>
      <x:c r="O707" s="13" t="str">
        <x:v>Sem informação</x:v>
      </x:c>
      <x:c r="P707" s="26"/>
      <x:c r="Q707" s="13"/>
      <x:c r="R707" s="13"/>
      <x:c r="S707" s="13"/>
      <x:c r="T707" s="13"/>
    </x:row>
    <x:row r="708">
      <x:c r="A708" s="13" t="str">
        <x:v>Yan Couto</x:v>
      </x:c>
      <x:c r="B708" s="13" t="n">
        <x:v>2027</x:v>
      </x:c>
      <x:c r="C708" s="13" t="str">
        <x:v>T3</x:v>
      </x:c>
      <x:c r="D708" s="24" t="n">
        <x:v>46660</x:v>
      </x:c>
      <x:c r="E708" s="13" t="str">
        <x:v>Lateral-direito</x:v>
      </x:c>
      <x:c r="F708" s="13" t="str">
        <x:v>Borussia Dortmund</x:v>
      </x:c>
      <x:c r="G708" s="16"/>
      <x:c r="H708" s="16"/>
      <x:c r="I708" s="16"/>
      <x:c r="J708" s="16"/>
      <x:c r="K708" s="16" t="str">
        <x:f>IF(COUNT(G708,I708)=0,"",AVERAGE(G708,I708))</x:f>
      </x:c>
      <x:c r="L708" s="16" t="str">
        <x:f>IF(COUNT(H708,J708)=0,"",AVERAGE(H708,J708))</x:f>
      </x:c>
      <x:c r="M708" s="16" t="str">
        <x:f>IF(OR(K708="",L708=""),"",L708-K708)</x:f>
      </x:c>
      <x:c r="N708" s="16" t="str">
        <x:f>IF(AND(A708=A707,ISNUMBER(K708),ISNUMBER(K707)),K708-K707,"")</x:f>
      </x:c>
      <x:c r="O708" s="13" t="str">
        <x:v>Sem informação</x:v>
      </x:c>
      <x:c r="P708" s="26"/>
      <x:c r="Q708" s="13"/>
      <x:c r="R708" s="13"/>
      <x:c r="S708" s="13"/>
      <x:c r="T708" s="13"/>
    </x:row>
    <x:row r="709">
      <x:c r="A709" s="13" t="str">
        <x:v>Yan Couto</x:v>
      </x:c>
      <x:c r="B709" s="13" t="n">
        <x:v>2027</x:v>
      </x:c>
      <x:c r="C709" s="13" t="str">
        <x:v>T4</x:v>
      </x:c>
      <x:c r="D709" s="24" t="n">
        <x:v>46752</x:v>
      </x:c>
      <x:c r="E709" s="13" t="str">
        <x:v>Lateral-direito</x:v>
      </x:c>
      <x:c r="F709" s="13" t="str">
        <x:v>Borussia Dortmund</x:v>
      </x:c>
      <x:c r="G709" s="16"/>
      <x:c r="H709" s="16"/>
      <x:c r="I709" s="16"/>
      <x:c r="J709" s="16"/>
      <x:c r="K709" s="16" t="str">
        <x:f>IF(COUNT(G709,I709)=0,"",AVERAGE(G709,I709))</x:f>
      </x:c>
      <x:c r="L709" s="16" t="str">
        <x:f>IF(COUNT(H709,J709)=0,"",AVERAGE(H709,J709))</x:f>
      </x:c>
      <x:c r="M709" s="16" t="str">
        <x:f>IF(OR(K709="",L709=""),"",L709-K709)</x:f>
      </x:c>
      <x:c r="N709" s="16" t="str">
        <x:f>IF(AND(A709=A708,ISNUMBER(K709),ISNUMBER(K708)),K709-K708,"")</x:f>
      </x:c>
      <x:c r="O709" s="13" t="str">
        <x:v>Sem informação</x:v>
      </x:c>
      <x:c r="P709" s="26"/>
      <x:c r="Q709" s="13"/>
      <x:c r="R709" s="13"/>
      <x:c r="S709" s="13"/>
      <x:c r="T709" s="13"/>
    </x:row>
    <x:row r="710">
      <x:c r="A710" s="13" t="str">
        <x:v>Yan Couto</x:v>
      </x:c>
      <x:c r="B710" s="13" t="n">
        <x:v>2028</x:v>
      </x:c>
      <x:c r="C710" s="13" t="str">
        <x:v>T1</x:v>
      </x:c>
      <x:c r="D710" s="24" t="n">
        <x:v>46843</x:v>
      </x:c>
      <x:c r="E710" s="13" t="str">
        <x:v>Lateral-direito</x:v>
      </x:c>
      <x:c r="F710" s="13" t="str">
        <x:v>Borussia Dortmund</x:v>
      </x:c>
      <x:c r="G710" s="16"/>
      <x:c r="H710" s="16"/>
      <x:c r="I710" s="16"/>
      <x:c r="J710" s="16"/>
      <x:c r="K710" s="16" t="str">
        <x:f>IF(COUNT(G710,I710)=0,"",AVERAGE(G710,I710))</x:f>
      </x:c>
      <x:c r="L710" s="16" t="str">
        <x:f>IF(COUNT(H710,J710)=0,"",AVERAGE(H710,J710))</x:f>
      </x:c>
      <x:c r="M710" s="16" t="str">
        <x:f>IF(OR(K710="",L710=""),"",L710-K710)</x:f>
      </x:c>
      <x:c r="N710" s="16" t="str">
        <x:f>IF(AND(A710=A709,ISNUMBER(K710),ISNUMBER(K709)),K710-K709,"")</x:f>
      </x:c>
      <x:c r="O710" s="13" t="str">
        <x:v>Sem informação</x:v>
      </x:c>
      <x:c r="P710" s="26"/>
      <x:c r="Q710" s="13"/>
      <x:c r="R710" s="13"/>
      <x:c r="S710" s="13"/>
      <x:c r="T710" s="13"/>
    </x:row>
    <x:row r="711">
      <x:c r="A711" s="13" t="str">
        <x:v>Yan Couto</x:v>
      </x:c>
      <x:c r="B711" s="13" t="n">
        <x:v>2028</x:v>
      </x:c>
      <x:c r="C711" s="13" t="str">
        <x:v>T2</x:v>
      </x:c>
      <x:c r="D711" s="24" t="n">
        <x:v>46934</x:v>
      </x:c>
      <x:c r="E711" s="13" t="str">
        <x:v>Lateral-direito</x:v>
      </x:c>
      <x:c r="F711" s="13" t="str">
        <x:v>Borussia Dortmund</x:v>
      </x:c>
      <x:c r="G711" s="16"/>
      <x:c r="H711" s="16"/>
      <x:c r="I711" s="16"/>
      <x:c r="J711" s="16"/>
      <x:c r="K711" s="16" t="str">
        <x:f>IF(COUNT(G711,I711)=0,"",AVERAGE(G711,I711))</x:f>
      </x:c>
      <x:c r="L711" s="16" t="str">
        <x:f>IF(COUNT(H711,J711)=0,"",AVERAGE(H711,J711))</x:f>
      </x:c>
      <x:c r="M711" s="16" t="str">
        <x:f>IF(OR(K711="",L711=""),"",L711-K711)</x:f>
      </x:c>
      <x:c r="N711" s="16" t="str">
        <x:f>IF(AND(A711=A710,ISNUMBER(K711),ISNUMBER(K710)),K711-K710,"")</x:f>
      </x:c>
      <x:c r="O711" s="13" t="str">
        <x:v>Sem informação</x:v>
      </x:c>
      <x:c r="P711" s="26"/>
      <x:c r="Q711" s="13"/>
      <x:c r="R711" s="13"/>
      <x:c r="S711" s="13"/>
      <x:c r="T711" s="13"/>
    </x:row>
    <x:row r="712">
      <x:c r="A712" s="13" t="str">
        <x:v>Yan Couto</x:v>
      </x:c>
      <x:c r="B712" s="13" t="n">
        <x:v>2028</x:v>
      </x:c>
      <x:c r="C712" s="13" t="str">
        <x:v>T3</x:v>
      </x:c>
      <x:c r="D712" s="24" t="n">
        <x:v>47026</x:v>
      </x:c>
      <x:c r="E712" s="13" t="str">
        <x:v>Lateral-direito</x:v>
      </x:c>
      <x:c r="F712" s="13" t="str">
        <x:v>Borussia Dortmund</x:v>
      </x:c>
      <x:c r="G712" s="16"/>
      <x:c r="H712" s="16"/>
      <x:c r="I712" s="16"/>
      <x:c r="J712" s="16"/>
      <x:c r="K712" s="16" t="str">
        <x:f>IF(COUNT(G712,I712)=0,"",AVERAGE(G712,I712))</x:f>
      </x:c>
      <x:c r="L712" s="16" t="str">
        <x:f>IF(COUNT(H712,J712)=0,"",AVERAGE(H712,J712))</x:f>
      </x:c>
      <x:c r="M712" s="16" t="str">
        <x:f>IF(OR(K712="",L712=""),"",L712-K712)</x:f>
      </x:c>
      <x:c r="N712" s="16" t="str">
        <x:f>IF(AND(A712=A711,ISNUMBER(K712),ISNUMBER(K711)),K712-K711,"")</x:f>
      </x:c>
      <x:c r="O712" s="13" t="str">
        <x:v>Sem informação</x:v>
      </x:c>
      <x:c r="P712" s="26"/>
      <x:c r="Q712" s="13"/>
      <x:c r="R712" s="13"/>
      <x:c r="S712" s="13"/>
      <x:c r="T712" s="13"/>
    </x:row>
    <x:row r="713">
      <x:c r="A713" s="13" t="str">
        <x:v>Yan Couto</x:v>
      </x:c>
      <x:c r="B713" s="13" t="n">
        <x:v>2028</x:v>
      </x:c>
      <x:c r="C713" s="13" t="str">
        <x:v>T4</x:v>
      </x:c>
      <x:c r="D713" s="24" t="n">
        <x:v>47118</x:v>
      </x:c>
      <x:c r="E713" s="13" t="str">
        <x:v>Lateral-direito</x:v>
      </x:c>
      <x:c r="F713" s="13" t="str">
        <x:v>Borussia Dortmund</x:v>
      </x:c>
      <x:c r="G713" s="16"/>
      <x:c r="H713" s="16"/>
      <x:c r="I713" s="16"/>
      <x:c r="J713" s="16"/>
      <x:c r="K713" s="16" t="str">
        <x:f>IF(COUNT(G713,I713)=0,"",AVERAGE(G713,I713))</x:f>
      </x:c>
      <x:c r="L713" s="16" t="str">
        <x:f>IF(COUNT(H713,J713)=0,"",AVERAGE(H713,J713))</x:f>
      </x:c>
      <x:c r="M713" s="16" t="str">
        <x:f>IF(OR(K713="",L713=""),"",L713-K713)</x:f>
      </x:c>
      <x:c r="N713" s="16" t="str">
        <x:f>IF(AND(A713=A712,ISNUMBER(K713),ISNUMBER(K712)),K713-K712,"")</x:f>
      </x:c>
      <x:c r="O713" s="13" t="str">
        <x:v>Sem informação</x:v>
      </x:c>
      <x:c r="P713" s="26"/>
      <x:c r="Q713" s="13"/>
      <x:c r="R713" s="13"/>
      <x:c r="S713" s="13"/>
      <x:c r="T713" s="13"/>
    </x:row>
    <x:row r="714">
      <x:c r="A714" s="13" t="str">
        <x:v>Yan Couto</x:v>
      </x:c>
      <x:c r="B714" s="13" t="n">
        <x:v>2029</x:v>
      </x:c>
      <x:c r="C714" s="13" t="str">
        <x:v>T1</x:v>
      </x:c>
      <x:c r="D714" s="24" t="n">
        <x:v>47208</x:v>
      </x:c>
      <x:c r="E714" s="13" t="str">
        <x:v>Lateral-direito</x:v>
      </x:c>
      <x:c r="F714" s="13" t="str">
        <x:v>Borussia Dortmund</x:v>
      </x:c>
      <x:c r="G714" s="16"/>
      <x:c r="H714" s="16"/>
      <x:c r="I714" s="16"/>
      <x:c r="J714" s="16"/>
      <x:c r="K714" s="16" t="str">
        <x:f>IF(COUNT(G714,I714)=0,"",AVERAGE(G714,I714))</x:f>
      </x:c>
      <x:c r="L714" s="16" t="str">
        <x:f>IF(COUNT(H714,J714)=0,"",AVERAGE(H714,J714))</x:f>
      </x:c>
      <x:c r="M714" s="16" t="str">
        <x:f>IF(OR(K714="",L714=""),"",L714-K714)</x:f>
      </x:c>
      <x:c r="N714" s="16" t="str">
        <x:f>IF(AND(A714=A713,ISNUMBER(K714),ISNUMBER(K713)),K714-K713,"")</x:f>
      </x:c>
      <x:c r="O714" s="13" t="str">
        <x:v>Sem informação</x:v>
      </x:c>
      <x:c r="P714" s="26"/>
      <x:c r="Q714" s="13"/>
      <x:c r="R714" s="13"/>
      <x:c r="S714" s="13"/>
      <x:c r="T714" s="13"/>
    </x:row>
    <x:row r="715">
      <x:c r="A715" s="13" t="str">
        <x:v>Yan Couto</x:v>
      </x:c>
      <x:c r="B715" s="13" t="n">
        <x:v>2029</x:v>
      </x:c>
      <x:c r="C715" s="13" t="str">
        <x:v>T2</x:v>
      </x:c>
      <x:c r="D715" s="24" t="n">
        <x:v>47299</x:v>
      </x:c>
      <x:c r="E715" s="13" t="str">
        <x:v>Lateral-direito</x:v>
      </x:c>
      <x:c r="F715" s="13" t="str">
        <x:v>Borussia Dortmund</x:v>
      </x:c>
      <x:c r="G715" s="16"/>
      <x:c r="H715" s="16"/>
      <x:c r="I715" s="16"/>
      <x:c r="J715" s="16"/>
      <x:c r="K715" s="16" t="str">
        <x:f>IF(COUNT(G715,I715)=0,"",AVERAGE(G715,I715))</x:f>
      </x:c>
      <x:c r="L715" s="16" t="str">
        <x:f>IF(COUNT(H715,J715)=0,"",AVERAGE(H715,J715))</x:f>
      </x:c>
      <x:c r="M715" s="16" t="str">
        <x:f>IF(OR(K715="",L715=""),"",L715-K715)</x:f>
      </x:c>
      <x:c r="N715" s="16" t="str">
        <x:f>IF(AND(A715=A714,ISNUMBER(K715),ISNUMBER(K714)),K715-K714,"")</x:f>
      </x:c>
      <x:c r="O715" s="13" t="str">
        <x:v>Sem informação</x:v>
      </x:c>
      <x:c r="P715" s="26"/>
      <x:c r="Q715" s="13"/>
      <x:c r="R715" s="13"/>
      <x:c r="S715" s="13"/>
      <x:c r="T715" s="13"/>
    </x:row>
    <x:row r="716">
      <x:c r="A716" s="13" t="str">
        <x:v>Yan Couto</x:v>
      </x:c>
      <x:c r="B716" s="13" t="n">
        <x:v>2029</x:v>
      </x:c>
      <x:c r="C716" s="13" t="str">
        <x:v>T3</x:v>
      </x:c>
      <x:c r="D716" s="24" t="n">
        <x:v>47391</x:v>
      </x:c>
      <x:c r="E716" s="13" t="str">
        <x:v>Lateral-direito</x:v>
      </x:c>
      <x:c r="F716" s="13" t="str">
        <x:v>Borussia Dortmund</x:v>
      </x:c>
      <x:c r="G716" s="16"/>
      <x:c r="H716" s="16"/>
      <x:c r="I716" s="16"/>
      <x:c r="J716" s="16"/>
      <x:c r="K716" s="16" t="str">
        <x:f>IF(COUNT(G716,I716)=0,"",AVERAGE(G716,I716))</x:f>
      </x:c>
      <x:c r="L716" s="16" t="str">
        <x:f>IF(COUNT(H716,J716)=0,"",AVERAGE(H716,J716))</x:f>
      </x:c>
      <x:c r="M716" s="16" t="str">
        <x:f>IF(OR(K716="",L716=""),"",L716-K716)</x:f>
      </x:c>
      <x:c r="N716" s="16" t="str">
        <x:f>IF(AND(A716=A715,ISNUMBER(K716),ISNUMBER(K715)),K716-K715,"")</x:f>
      </x:c>
      <x:c r="O716" s="13" t="str">
        <x:v>Sem informação</x:v>
      </x:c>
      <x:c r="P716" s="26"/>
      <x:c r="Q716" s="13"/>
      <x:c r="R716" s="13"/>
      <x:c r="S716" s="13"/>
      <x:c r="T716" s="13"/>
    </x:row>
    <x:row r="717">
      <x:c r="A717" s="13" t="str">
        <x:v>Yan Couto</x:v>
      </x:c>
      <x:c r="B717" s="13" t="n">
        <x:v>2029</x:v>
      </x:c>
      <x:c r="C717" s="13" t="str">
        <x:v>T4</x:v>
      </x:c>
      <x:c r="D717" s="24" t="n">
        <x:v>47483</x:v>
      </x:c>
      <x:c r="E717" s="13" t="str">
        <x:v>Lateral-direito</x:v>
      </x:c>
      <x:c r="F717" s="13" t="str">
        <x:v>Borussia Dortmund</x:v>
      </x:c>
      <x:c r="G717" s="16"/>
      <x:c r="H717" s="16"/>
      <x:c r="I717" s="16"/>
      <x:c r="J717" s="16"/>
      <x:c r="K717" s="16" t="str">
        <x:f>IF(COUNT(G717,I717)=0,"",AVERAGE(G717,I717))</x:f>
      </x:c>
      <x:c r="L717" s="16" t="str">
        <x:f>IF(COUNT(H717,J717)=0,"",AVERAGE(H717,J717))</x:f>
      </x:c>
      <x:c r="M717" s="16" t="str">
        <x:f>IF(OR(K717="",L717=""),"",L717-K717)</x:f>
      </x:c>
      <x:c r="N717" s="16" t="str">
        <x:f>IF(AND(A717=A716,ISNUMBER(K717),ISNUMBER(K716)),K717-K716,"")</x:f>
      </x:c>
      <x:c r="O717" s="13" t="str">
        <x:v>Sem informação</x:v>
      </x:c>
      <x:c r="P717" s="26"/>
      <x:c r="Q717" s="13"/>
      <x:c r="R717" s="13"/>
      <x:c r="S717" s="13"/>
      <x:c r="T717" s="13"/>
    </x:row>
    <x:row r="718">
      <x:c r="A718" s="13" t="str">
        <x:v>Yan Couto</x:v>
      </x:c>
      <x:c r="B718" s="13" t="n">
        <x:v>2030</x:v>
      </x:c>
      <x:c r="C718" s="13" t="str">
        <x:v>T1</x:v>
      </x:c>
      <x:c r="D718" s="24" t="n">
        <x:v>47573</x:v>
      </x:c>
      <x:c r="E718" s="13" t="str">
        <x:v>Lateral-direito</x:v>
      </x:c>
      <x:c r="F718" s="13" t="str">
        <x:v>Borussia Dortmund</x:v>
      </x:c>
      <x:c r="G718" s="16"/>
      <x:c r="H718" s="16"/>
      <x:c r="I718" s="16"/>
      <x:c r="J718" s="16"/>
      <x:c r="K718" s="16" t="str">
        <x:f>IF(COUNT(G718,I718)=0,"",AVERAGE(G718,I718))</x:f>
      </x:c>
      <x:c r="L718" s="16" t="str">
        <x:f>IF(COUNT(H718,J718)=0,"",AVERAGE(H718,J718))</x:f>
      </x:c>
      <x:c r="M718" s="16" t="str">
        <x:f>IF(OR(K718="",L718=""),"",L718-K718)</x:f>
      </x:c>
      <x:c r="N718" s="16" t="str">
        <x:f>IF(AND(A718=A717,ISNUMBER(K718),ISNUMBER(K717)),K718-K717,"")</x:f>
      </x:c>
      <x:c r="O718" s="13" t="str">
        <x:v>Sem informação</x:v>
      </x:c>
      <x:c r="P718" s="26"/>
      <x:c r="Q718" s="13"/>
      <x:c r="R718" s="13"/>
      <x:c r="S718" s="13"/>
      <x:c r="T718" s="13"/>
    </x:row>
    <x:row r="719">
      <x:c r="A719" s="13" t="str">
        <x:v>Yan Couto</x:v>
      </x:c>
      <x:c r="B719" s="13" t="n">
        <x:v>2030</x:v>
      </x:c>
      <x:c r="C719" s="13" t="str">
        <x:v>T2</x:v>
      </x:c>
      <x:c r="D719" s="24" t="n">
        <x:v>47664</x:v>
      </x:c>
      <x:c r="E719" s="13" t="str">
        <x:v>Lateral-direito</x:v>
      </x:c>
      <x:c r="F719" s="13" t="str">
        <x:v>Borussia Dortmund</x:v>
      </x:c>
      <x:c r="G719" s="16"/>
      <x:c r="H719" s="16"/>
      <x:c r="I719" s="16"/>
      <x:c r="J719" s="16"/>
      <x:c r="K719" s="16" t="str">
        <x:f>IF(COUNT(G719,I719)=0,"",AVERAGE(G719,I719))</x:f>
      </x:c>
      <x:c r="L719" s="16" t="str">
        <x:f>IF(COUNT(H719,J719)=0,"",AVERAGE(H719,J719))</x:f>
      </x:c>
      <x:c r="M719" s="16" t="str">
        <x:f>IF(OR(K719="",L719=""),"",L719-K719)</x:f>
      </x:c>
      <x:c r="N719" s="16" t="str">
        <x:f>IF(AND(A719=A718,ISNUMBER(K719),ISNUMBER(K718)),K719-K718,"")</x:f>
      </x:c>
      <x:c r="O719" s="13" t="str">
        <x:v>Sem informação</x:v>
      </x:c>
      <x:c r="P719" s="26"/>
      <x:c r="Q719" s="13"/>
      <x:c r="R719" s="13"/>
      <x:c r="S719" s="13"/>
      <x:c r="T719" s="13"/>
    </x:row>
    <x:row r="720">
      <x:c r="A720" s="13" t="str">
        <x:v>Yan Couto</x:v>
      </x:c>
      <x:c r="B720" s="13" t="n">
        <x:v>2030</x:v>
      </x:c>
      <x:c r="C720" s="13" t="str">
        <x:v>T3</x:v>
      </x:c>
      <x:c r="D720" s="24" t="n">
        <x:v>47756</x:v>
      </x:c>
      <x:c r="E720" s="13" t="str">
        <x:v>Lateral-direito</x:v>
      </x:c>
      <x:c r="F720" s="13" t="str">
        <x:v>Borussia Dortmund</x:v>
      </x:c>
      <x:c r="G720" s="16"/>
      <x:c r="H720" s="16"/>
      <x:c r="I720" s="16"/>
      <x:c r="J720" s="16"/>
      <x:c r="K720" s="16" t="str">
        <x:f>IF(COUNT(G720,I720)=0,"",AVERAGE(G720,I720))</x:f>
      </x:c>
      <x:c r="L720" s="16" t="str">
        <x:f>IF(COUNT(H720,J720)=0,"",AVERAGE(H720,J720))</x:f>
      </x:c>
      <x:c r="M720" s="16" t="str">
        <x:f>IF(OR(K720="",L720=""),"",L720-K720)</x:f>
      </x:c>
      <x:c r="N720" s="16" t="str">
        <x:f>IF(AND(A720=A719,ISNUMBER(K720),ISNUMBER(K719)),K720-K719,"")</x:f>
      </x:c>
      <x:c r="O720" s="13" t="str">
        <x:v>Sem informação</x:v>
      </x:c>
      <x:c r="P720" s="26"/>
      <x:c r="Q720" s="13"/>
      <x:c r="R720" s="13"/>
      <x:c r="S720" s="13"/>
      <x:c r="T720" s="13"/>
    </x:row>
    <x:row r="721">
      <x:c r="A721" s="13" t="str">
        <x:v>Yan Couto</x:v>
      </x:c>
      <x:c r="B721" s="13" t="n">
        <x:v>2030</x:v>
      </x:c>
      <x:c r="C721" s="13" t="str">
        <x:v>T4</x:v>
      </x:c>
      <x:c r="D721" s="24" t="n">
        <x:v>47848</x:v>
      </x:c>
      <x:c r="E721" s="13" t="str">
        <x:v>Lateral-direito</x:v>
      </x:c>
      <x:c r="F721" s="13" t="str">
        <x:v>Borussia Dortmund</x:v>
      </x:c>
      <x:c r="G721" s="16"/>
      <x:c r="H721" s="16"/>
      <x:c r="I721" s="16"/>
      <x:c r="J721" s="16"/>
      <x:c r="K721" s="16" t="str">
        <x:f>IF(COUNT(G721,I721)=0,"",AVERAGE(G721,I721))</x:f>
      </x:c>
      <x:c r="L721" s="16" t="str">
        <x:f>IF(COUNT(H721,J721)=0,"",AVERAGE(H721,J721))</x:f>
      </x:c>
      <x:c r="M721" s="16" t="str">
        <x:f>IF(OR(K721="",L721=""),"",L721-K721)</x:f>
      </x:c>
      <x:c r="N721" s="16" t="str">
        <x:f>IF(AND(A721=A720,ISNUMBER(K721),ISNUMBER(K720)),K721-K720,"")</x:f>
      </x:c>
      <x:c r="O721" s="13" t="str">
        <x:v>Sem informação</x:v>
      </x:c>
      <x:c r="P721" s="26"/>
      <x:c r="Q721" s="13"/>
      <x:c r="R721" s="13"/>
      <x:c r="S721" s="13"/>
      <x:c r="T721" s="13"/>
    </x:row>
    <x:row r="722">
      <x:c r="A722" s="13" t="str">
        <x:v>Alexsandro</x:v>
      </x:c>
      <x:c r="B722" s="13" t="n">
        <x:v>2026</x:v>
      </x:c>
      <x:c r="C722" s="13" t="str">
        <x:v>T1</x:v>
      </x:c>
      <x:c r="D722" s="24" t="n">
        <x:v>46112</x:v>
      </x:c>
      <x:c r="E722" s="13" t="str">
        <x:v>Zagueiro</x:v>
      </x:c>
      <x:c r="F722" s="13" t="str">
        <x:v>LOSC Lille</x:v>
      </x:c>
      <x:c r="G722" s="16"/>
      <x:c r="H722" s="16"/>
      <x:c r="I722" s="16"/>
      <x:c r="J722" s="16"/>
      <x:c r="K722" s="16" t="str">
        <x:f>IF(COUNT(G722,I722)=0,"",AVERAGE(G722,I722))</x:f>
      </x:c>
      <x:c r="L722" s="16" t="str">
        <x:f>IF(COUNT(H722,J722)=0,"",AVERAGE(H722,J722))</x:f>
      </x:c>
      <x:c r="M722" s="16" t="str">
        <x:f>IF(OR(K722="",L722=""),"",L722-K722)</x:f>
      </x:c>
      <x:c r="N722" s="16" t="str">
        <x:f>""</x:f>
      </x:c>
      <x:c r="O722" s="13" t="str">
        <x:v>Sem informação</x:v>
      </x:c>
      <x:c r="P722" s="26"/>
      <x:c r="Q722" s="13" t="str"/>
      <x:c r="R722" s="13" t="str"/>
      <x:c r="S722" s="13" t="str"/>
      <x:c r="T722" s="13" t="str"/>
    </x:row>
    <x:row r="723">
      <x:c r="A723" s="13" t="str">
        <x:v>Alexsandro</x:v>
      </x:c>
      <x:c r="B723" s="13" t="n">
        <x:v>2026</x:v>
      </x:c>
      <x:c r="C723" s="13" t="str">
        <x:v>T2</x:v>
      </x:c>
      <x:c r="D723" s="24" t="n">
        <x:v>46203</x:v>
      </x:c>
      <x:c r="E723" s="13" t="str">
        <x:v>Zagueiro</x:v>
      </x:c>
      <x:c r="F723" s="13" t="str">
        <x:v>LOSC Lille</x:v>
      </x:c>
      <x:c r="G723" s="16"/>
      <x:c r="H723" s="16"/>
      <x:c r="I723" s="16"/>
      <x:c r="J723" s="16"/>
      <x:c r="K723" s="16" t="str">
        <x:f>IF(COUNT(G723,I723)=0,"",AVERAGE(G723,I723))</x:f>
      </x:c>
      <x:c r="L723" s="16" t="str">
        <x:f>IF(COUNT(H723,J723)=0,"",AVERAGE(H723,J723))</x:f>
      </x:c>
      <x:c r="M723" s="16" t="str">
        <x:f>IF(OR(K723="",L723=""),"",L723-K723)</x:f>
      </x:c>
      <x:c r="N723" s="16" t="str">
        <x:f>IF(AND(A723=A722,ISNUMBER(K723),ISNUMBER(K722)),K723-K722,"")</x:f>
      </x:c>
      <x:c r="O723" s="13" t="str">
        <x:v>Sem informação</x:v>
      </x:c>
      <x:c r="P723" s="26"/>
      <x:c r="Q723" s="13" t="str"/>
      <x:c r="R723" s="13" t="str"/>
      <x:c r="S723" s="13" t="str"/>
      <x:c r="T723" s="13" t="str"/>
    </x:row>
    <x:row r="724">
      <x:c r="A724" s="13" t="str">
        <x:v>Alexsandro</x:v>
      </x:c>
      <x:c r="B724" s="13" t="n">
        <x:v>2026</x:v>
      </x:c>
      <x:c r="C724" s="13" t="str">
        <x:v>T3</x:v>
      </x:c>
      <x:c r="D724" s="24" t="n">
        <x:v>46295</x:v>
      </x:c>
      <x:c r="E724" s="13" t="str">
        <x:v>Zagueiro</x:v>
      </x:c>
      <x:c r="F724" s="13" t="str">
        <x:v>LOSC Lille</x:v>
      </x:c>
      <x:c r="G724" s="16"/>
      <x:c r="H724" s="16"/>
      <x:c r="I724" s="16"/>
      <x:c r="J724" s="16"/>
      <x:c r="K724" s="16" t="str">
        <x:f>IF(COUNT(G724,I724)=0,"",AVERAGE(G724,I724))</x:f>
      </x:c>
      <x:c r="L724" s="16" t="str">
        <x:f>IF(COUNT(H724,J724)=0,"",AVERAGE(H724,J724))</x:f>
      </x:c>
      <x:c r="M724" s="16" t="str">
        <x:f>IF(OR(K724="",L724=""),"",L724-K724)</x:f>
      </x:c>
      <x:c r="N724" s="16" t="str">
        <x:f>IF(AND(A724=A723,ISNUMBER(K724),ISNUMBER(K723)),K724-K723,"")</x:f>
      </x:c>
      <x:c r="O724" s="13" t="str">
        <x:v>Sem informação</x:v>
      </x:c>
      <x:c r="P724" s="26"/>
      <x:c r="Q724" s="13" t="str"/>
      <x:c r="R724" s="13" t="str"/>
      <x:c r="S724" s="13" t="str"/>
      <x:c r="T724" s="13" t="str"/>
    </x:row>
    <x:row r="725">
      <x:c r="A725" s="13" t="str">
        <x:v>Alexsandro</x:v>
      </x:c>
      <x:c r="B725" s="13" t="n">
        <x:v>2026</x:v>
      </x:c>
      <x:c r="C725" s="13" t="str">
        <x:v>T4</x:v>
      </x:c>
      <x:c r="D725" s="24" t="n">
        <x:v>46387</x:v>
      </x:c>
      <x:c r="E725" s="13" t="str">
        <x:v>Zagueiro</x:v>
      </x:c>
      <x:c r="F725" s="13" t="str">
        <x:v>LOSC Lille</x:v>
      </x:c>
      <x:c r="G725" s="16"/>
      <x:c r="H725" s="16"/>
      <x:c r="I725" s="16"/>
      <x:c r="J725" s="16"/>
      <x:c r="K725" s="16" t="str">
        <x:f>IF(COUNT(G725,I725)=0,"",AVERAGE(G725,I725))</x:f>
      </x:c>
      <x:c r="L725" s="16" t="str">
        <x:f>IF(COUNT(H725,J725)=0,"",AVERAGE(H725,J725))</x:f>
      </x:c>
      <x:c r="M725" s="16" t="str">
        <x:f>IF(OR(K725="",L725=""),"",L725-K725)</x:f>
      </x:c>
      <x:c r="N725" s="16" t="str">
        <x:f>IF(AND(A725=A724,ISNUMBER(K725),ISNUMBER(K724)),K725-K724,"")</x:f>
      </x:c>
      <x:c r="O725" s="13" t="str">
        <x:v>Sem informação</x:v>
      </x:c>
      <x:c r="P725" s="26"/>
      <x:c r="Q725" s="13" t="str"/>
      <x:c r="R725" s="13" t="str"/>
      <x:c r="S725" s="13" t="str"/>
      <x:c r="T725" s="13" t="str"/>
    </x:row>
    <x:row r="726">
      <x:c r="A726" s="13" t="str">
        <x:v>Alexsandro</x:v>
      </x:c>
      <x:c r="B726" s="13" t="n">
        <x:v>2027</x:v>
      </x:c>
      <x:c r="C726" s="13" t="str">
        <x:v>T1</x:v>
      </x:c>
      <x:c r="D726" s="24" t="n">
        <x:v>46477</x:v>
      </x:c>
      <x:c r="E726" s="13" t="str">
        <x:v>Zagueiro</x:v>
      </x:c>
      <x:c r="F726" s="13" t="str">
        <x:v>LOSC Lille</x:v>
      </x:c>
      <x:c r="G726" s="16"/>
      <x:c r="H726" s="16"/>
      <x:c r="I726" s="16"/>
      <x:c r="J726" s="16"/>
      <x:c r="K726" s="16" t="str">
        <x:f>IF(COUNT(G726,I726)=0,"",AVERAGE(G726,I726))</x:f>
      </x:c>
      <x:c r="L726" s="16" t="str">
        <x:f>IF(COUNT(H726,J726)=0,"",AVERAGE(H726,J726))</x:f>
      </x:c>
      <x:c r="M726" s="16" t="str">
        <x:f>IF(OR(K726="",L726=""),"",L726-K726)</x:f>
      </x:c>
      <x:c r="N726" s="16" t="str">
        <x:f>IF(AND(A726=A725,ISNUMBER(K726),ISNUMBER(K725)),K726-K725,"")</x:f>
      </x:c>
      <x:c r="O726" s="13" t="str">
        <x:v>Sem informação</x:v>
      </x:c>
      <x:c r="P726" s="26"/>
      <x:c r="Q726" s="13" t="str"/>
      <x:c r="R726" s="13" t="str"/>
      <x:c r="S726" s="13" t="str"/>
      <x:c r="T726" s="13" t="str"/>
    </x:row>
    <x:row r="727">
      <x:c r="A727" s="13" t="str">
        <x:v>Alexsandro</x:v>
      </x:c>
      <x:c r="B727" s="13" t="n">
        <x:v>2027</x:v>
      </x:c>
      <x:c r="C727" s="13" t="str">
        <x:v>T2</x:v>
      </x:c>
      <x:c r="D727" s="24" t="n">
        <x:v>46568</x:v>
      </x:c>
      <x:c r="E727" s="13" t="str">
        <x:v>Zagueiro</x:v>
      </x:c>
      <x:c r="F727" s="13" t="str">
        <x:v>LOSC Lille</x:v>
      </x:c>
      <x:c r="G727" s="16"/>
      <x:c r="H727" s="16"/>
      <x:c r="I727" s="16"/>
      <x:c r="J727" s="16"/>
      <x:c r="K727" s="16" t="str">
        <x:f>IF(COUNT(G727,I727)=0,"",AVERAGE(G727,I727))</x:f>
      </x:c>
      <x:c r="L727" s="16" t="str">
        <x:f>IF(COUNT(H727,J727)=0,"",AVERAGE(H727,J727))</x:f>
      </x:c>
      <x:c r="M727" s="16" t="str">
        <x:f>IF(OR(K727="",L727=""),"",L727-K727)</x:f>
      </x:c>
      <x:c r="N727" s="16" t="str">
        <x:f>IF(AND(A727=A726,ISNUMBER(K727),ISNUMBER(K726)),K727-K726,"")</x:f>
      </x:c>
      <x:c r="O727" s="13" t="str">
        <x:v>Sem informação</x:v>
      </x:c>
      <x:c r="P727" s="26"/>
      <x:c r="Q727" s="13" t="str"/>
      <x:c r="R727" s="13" t="str"/>
      <x:c r="S727" s="13" t="str"/>
      <x:c r="T727" s="13" t="str"/>
    </x:row>
    <x:row r="728">
      <x:c r="A728" s="13" t="str">
        <x:v>Alexsandro</x:v>
      </x:c>
      <x:c r="B728" s="13" t="n">
        <x:v>2027</x:v>
      </x:c>
      <x:c r="C728" s="13" t="str">
        <x:v>T3</x:v>
      </x:c>
      <x:c r="D728" s="24" t="n">
        <x:v>46660</x:v>
      </x:c>
      <x:c r="E728" s="13" t="str">
        <x:v>Zagueiro</x:v>
      </x:c>
      <x:c r="F728" s="13" t="str">
        <x:v>LOSC Lille</x:v>
      </x:c>
      <x:c r="G728" s="16"/>
      <x:c r="H728" s="16"/>
      <x:c r="I728" s="16"/>
      <x:c r="J728" s="16"/>
      <x:c r="K728" s="16" t="str">
        <x:f>IF(COUNT(G728,I728)=0,"",AVERAGE(G728,I728))</x:f>
      </x:c>
      <x:c r="L728" s="16" t="str">
        <x:f>IF(COUNT(H728,J728)=0,"",AVERAGE(H728,J728))</x:f>
      </x:c>
      <x:c r="M728" s="16" t="str">
        <x:f>IF(OR(K728="",L728=""),"",L728-K728)</x:f>
      </x:c>
      <x:c r="N728" s="16" t="str">
        <x:f>IF(AND(A728=A727,ISNUMBER(K728),ISNUMBER(K727)),K728-K727,"")</x:f>
      </x:c>
      <x:c r="O728" s="13" t="str">
        <x:v>Sem informação</x:v>
      </x:c>
      <x:c r="P728" s="26"/>
      <x:c r="Q728" s="13" t="str"/>
      <x:c r="R728" s="13" t="str"/>
      <x:c r="S728" s="13" t="str"/>
      <x:c r="T728" s="13" t="str"/>
    </x:row>
    <x:row r="729">
      <x:c r="A729" s="13" t="str">
        <x:v>Alexsandro</x:v>
      </x:c>
      <x:c r="B729" s="13" t="n">
        <x:v>2027</x:v>
      </x:c>
      <x:c r="C729" s="13" t="str">
        <x:v>T4</x:v>
      </x:c>
      <x:c r="D729" s="24" t="n">
        <x:v>46752</x:v>
      </x:c>
      <x:c r="E729" s="13" t="str">
        <x:v>Zagueiro</x:v>
      </x:c>
      <x:c r="F729" s="13" t="str">
        <x:v>LOSC Lille</x:v>
      </x:c>
      <x:c r="G729" s="16"/>
      <x:c r="H729" s="16"/>
      <x:c r="I729" s="16"/>
      <x:c r="J729" s="16"/>
      <x:c r="K729" s="16" t="str">
        <x:f>IF(COUNT(G729,I729)=0,"",AVERAGE(G729,I729))</x:f>
      </x:c>
      <x:c r="L729" s="16" t="str">
        <x:f>IF(COUNT(H729,J729)=0,"",AVERAGE(H729,J729))</x:f>
      </x:c>
      <x:c r="M729" s="16" t="str">
        <x:f>IF(OR(K729="",L729=""),"",L729-K729)</x:f>
      </x:c>
      <x:c r="N729" s="16" t="str">
        <x:f>IF(AND(A729=A728,ISNUMBER(K729),ISNUMBER(K728)),K729-K728,"")</x:f>
      </x:c>
      <x:c r="O729" s="13" t="str">
        <x:v>Sem informação</x:v>
      </x:c>
      <x:c r="P729" s="26"/>
      <x:c r="Q729" s="13" t="str"/>
      <x:c r="R729" s="13" t="str"/>
      <x:c r="S729" s="13" t="str"/>
      <x:c r="T729" s="13" t="str"/>
    </x:row>
    <x:row r="730">
      <x:c r="A730" s="13" t="str">
        <x:v>Alexsandro</x:v>
      </x:c>
      <x:c r="B730" s="13" t="n">
        <x:v>2028</x:v>
      </x:c>
      <x:c r="C730" s="13" t="str">
        <x:v>T1</x:v>
      </x:c>
      <x:c r="D730" s="24" t="n">
        <x:v>46843</x:v>
      </x:c>
      <x:c r="E730" s="13" t="str">
        <x:v>Zagueiro</x:v>
      </x:c>
      <x:c r="F730" s="13" t="str">
        <x:v>LOSC Lille</x:v>
      </x:c>
      <x:c r="G730" s="16"/>
      <x:c r="H730" s="16"/>
      <x:c r="I730" s="16"/>
      <x:c r="J730" s="16"/>
      <x:c r="K730" s="16" t="str">
        <x:f>IF(COUNT(G730,I730)=0,"",AVERAGE(G730,I730))</x:f>
      </x:c>
      <x:c r="L730" s="16" t="str">
        <x:f>IF(COUNT(H730,J730)=0,"",AVERAGE(H730,J730))</x:f>
      </x:c>
      <x:c r="M730" s="16" t="str">
        <x:f>IF(OR(K730="",L730=""),"",L730-K730)</x:f>
      </x:c>
      <x:c r="N730" s="16" t="str">
        <x:f>IF(AND(A730=A729,ISNUMBER(K730),ISNUMBER(K729)),K730-K729,"")</x:f>
      </x:c>
      <x:c r="O730" s="13" t="str">
        <x:v>Sem informação</x:v>
      </x:c>
      <x:c r="P730" s="26"/>
      <x:c r="Q730" s="13" t="str"/>
      <x:c r="R730" s="13" t="str"/>
      <x:c r="S730" s="13" t="str"/>
      <x:c r="T730" s="13" t="str"/>
    </x:row>
    <x:row r="731">
      <x:c r="A731" s="13" t="str">
        <x:v>Alexsandro</x:v>
      </x:c>
      <x:c r="B731" s="13" t="n">
        <x:v>2028</x:v>
      </x:c>
      <x:c r="C731" s="13" t="str">
        <x:v>T2</x:v>
      </x:c>
      <x:c r="D731" s="24" t="n">
        <x:v>46934</x:v>
      </x:c>
      <x:c r="E731" s="13" t="str">
        <x:v>Zagueiro</x:v>
      </x:c>
      <x:c r="F731" s="13" t="str">
        <x:v>LOSC Lille</x:v>
      </x:c>
      <x:c r="G731" s="16"/>
      <x:c r="H731" s="16"/>
      <x:c r="I731" s="16"/>
      <x:c r="J731" s="16"/>
      <x:c r="K731" s="16" t="str">
        <x:f>IF(COUNT(G731,I731)=0,"",AVERAGE(G731,I731))</x:f>
      </x:c>
      <x:c r="L731" s="16" t="str">
        <x:f>IF(COUNT(H731,J731)=0,"",AVERAGE(H731,J731))</x:f>
      </x:c>
      <x:c r="M731" s="16" t="str">
        <x:f>IF(OR(K731="",L731=""),"",L731-K731)</x:f>
      </x:c>
      <x:c r="N731" s="16" t="str">
        <x:f>IF(AND(A731=A730,ISNUMBER(K731),ISNUMBER(K730)),K731-K730,"")</x:f>
      </x:c>
      <x:c r="O731" s="13" t="str">
        <x:v>Sem informação</x:v>
      </x:c>
      <x:c r="P731" s="26"/>
      <x:c r="Q731" s="13" t="str"/>
      <x:c r="R731" s="13" t="str"/>
      <x:c r="S731" s="13" t="str"/>
      <x:c r="T731" s="13" t="str"/>
    </x:row>
    <x:row r="732">
      <x:c r="A732" s="13" t="str">
        <x:v>Alexsandro</x:v>
      </x:c>
      <x:c r="B732" s="13" t="n">
        <x:v>2028</x:v>
      </x:c>
      <x:c r="C732" s="13" t="str">
        <x:v>T3</x:v>
      </x:c>
      <x:c r="D732" s="24" t="n">
        <x:v>47026</x:v>
      </x:c>
      <x:c r="E732" s="13" t="str">
        <x:v>Zagueiro</x:v>
      </x:c>
      <x:c r="F732" s="13" t="str">
        <x:v>LOSC Lille</x:v>
      </x:c>
      <x:c r="G732" s="16"/>
      <x:c r="H732" s="16"/>
      <x:c r="I732" s="16"/>
      <x:c r="J732" s="16"/>
      <x:c r="K732" s="16" t="str">
        <x:f>IF(COUNT(G732,I732)=0,"",AVERAGE(G732,I732))</x:f>
      </x:c>
      <x:c r="L732" s="16" t="str">
        <x:f>IF(COUNT(H732,J732)=0,"",AVERAGE(H732,J732))</x:f>
      </x:c>
      <x:c r="M732" s="16" t="str">
        <x:f>IF(OR(K732="",L732=""),"",L732-K732)</x:f>
      </x:c>
      <x:c r="N732" s="16" t="str">
        <x:f>IF(AND(A732=A731,ISNUMBER(K732),ISNUMBER(K731)),K732-K731,"")</x:f>
      </x:c>
      <x:c r="O732" s="13" t="str">
        <x:v>Sem informação</x:v>
      </x:c>
      <x:c r="P732" s="26"/>
      <x:c r="Q732" s="13" t="str"/>
      <x:c r="R732" s="13" t="str"/>
      <x:c r="S732" s="13" t="str"/>
      <x:c r="T732" s="13" t="str"/>
    </x:row>
    <x:row r="733">
      <x:c r="A733" s="13" t="str">
        <x:v>Alexsandro</x:v>
      </x:c>
      <x:c r="B733" s="13" t="n">
        <x:v>2028</x:v>
      </x:c>
      <x:c r="C733" s="13" t="str">
        <x:v>T4</x:v>
      </x:c>
      <x:c r="D733" s="24" t="n">
        <x:v>47118</x:v>
      </x:c>
      <x:c r="E733" s="13" t="str">
        <x:v>Zagueiro</x:v>
      </x:c>
      <x:c r="F733" s="13" t="str">
        <x:v>LOSC Lille</x:v>
      </x:c>
      <x:c r="G733" s="16"/>
      <x:c r="H733" s="16"/>
      <x:c r="I733" s="16"/>
      <x:c r="J733" s="16"/>
      <x:c r="K733" s="16" t="str">
        <x:f>IF(COUNT(G733,I733)=0,"",AVERAGE(G733,I733))</x:f>
      </x:c>
      <x:c r="L733" s="16" t="str">
        <x:f>IF(COUNT(H733,J733)=0,"",AVERAGE(H733,J733))</x:f>
      </x:c>
      <x:c r="M733" s="16" t="str">
        <x:f>IF(OR(K733="",L733=""),"",L733-K733)</x:f>
      </x:c>
      <x:c r="N733" s="16" t="str">
        <x:f>IF(AND(A733=A732,ISNUMBER(K733),ISNUMBER(K732)),K733-K732,"")</x:f>
      </x:c>
      <x:c r="O733" s="13" t="str">
        <x:v>Sem informação</x:v>
      </x:c>
      <x:c r="P733" s="26"/>
      <x:c r="Q733" s="13" t="str"/>
      <x:c r="R733" s="13" t="str"/>
      <x:c r="S733" s="13" t="str"/>
      <x:c r="T733" s="13" t="str"/>
    </x:row>
    <x:row r="734">
      <x:c r="A734" s="13" t="str">
        <x:v>Alexsandro</x:v>
      </x:c>
      <x:c r="B734" s="13" t="n">
        <x:v>2029</x:v>
      </x:c>
      <x:c r="C734" s="13" t="str">
        <x:v>T1</x:v>
      </x:c>
      <x:c r="D734" s="24" t="n">
        <x:v>47208</x:v>
      </x:c>
      <x:c r="E734" s="13" t="str">
        <x:v>Zagueiro</x:v>
      </x:c>
      <x:c r="F734" s="13" t="str">
        <x:v>LOSC Lille</x:v>
      </x:c>
      <x:c r="G734" s="16"/>
      <x:c r="H734" s="16"/>
      <x:c r="I734" s="16"/>
      <x:c r="J734" s="16"/>
      <x:c r="K734" s="16" t="str">
        <x:f>IF(COUNT(G734,I734)=0,"",AVERAGE(G734,I734))</x:f>
      </x:c>
      <x:c r="L734" s="16" t="str">
        <x:f>IF(COUNT(H734,J734)=0,"",AVERAGE(H734,J734))</x:f>
      </x:c>
      <x:c r="M734" s="16" t="str">
        <x:f>IF(OR(K734="",L734=""),"",L734-K734)</x:f>
      </x:c>
      <x:c r="N734" s="16" t="str">
        <x:f>IF(AND(A734=A733,ISNUMBER(K734),ISNUMBER(K733)),K734-K733,"")</x:f>
      </x:c>
      <x:c r="O734" s="13" t="str">
        <x:v>Sem informação</x:v>
      </x:c>
      <x:c r="P734" s="26"/>
      <x:c r="Q734" s="13" t="str"/>
      <x:c r="R734" s="13" t="str"/>
      <x:c r="S734" s="13" t="str"/>
      <x:c r="T734" s="13" t="str"/>
    </x:row>
    <x:row r="735">
      <x:c r="A735" s="13" t="str">
        <x:v>Alexsandro</x:v>
      </x:c>
      <x:c r="B735" s="13" t="n">
        <x:v>2029</x:v>
      </x:c>
      <x:c r="C735" s="13" t="str">
        <x:v>T2</x:v>
      </x:c>
      <x:c r="D735" s="24" t="n">
        <x:v>47299</x:v>
      </x:c>
      <x:c r="E735" s="13" t="str">
        <x:v>Zagueiro</x:v>
      </x:c>
      <x:c r="F735" s="13" t="str">
        <x:v>LOSC Lille</x:v>
      </x:c>
      <x:c r="G735" s="16"/>
      <x:c r="H735" s="16"/>
      <x:c r="I735" s="16"/>
      <x:c r="J735" s="16"/>
      <x:c r="K735" s="16" t="str">
        <x:f>IF(COUNT(G735,I735)=0,"",AVERAGE(G735,I735))</x:f>
      </x:c>
      <x:c r="L735" s="16" t="str">
        <x:f>IF(COUNT(H735,J735)=0,"",AVERAGE(H735,J735))</x:f>
      </x:c>
      <x:c r="M735" s="16" t="str">
        <x:f>IF(OR(K735="",L735=""),"",L735-K735)</x:f>
      </x:c>
      <x:c r="N735" s="16" t="str">
        <x:f>IF(AND(A735=A734,ISNUMBER(K735),ISNUMBER(K734)),K735-K734,"")</x:f>
      </x:c>
      <x:c r="O735" s="13" t="str">
        <x:v>Sem informação</x:v>
      </x:c>
      <x:c r="P735" s="26"/>
      <x:c r="Q735" s="13" t="str"/>
      <x:c r="R735" s="13" t="str"/>
      <x:c r="S735" s="13" t="str"/>
      <x:c r="T735" s="13" t="str"/>
    </x:row>
    <x:row r="736">
      <x:c r="A736" s="13" t="str">
        <x:v>Alexsandro</x:v>
      </x:c>
      <x:c r="B736" s="13" t="n">
        <x:v>2029</x:v>
      </x:c>
      <x:c r="C736" s="13" t="str">
        <x:v>T3</x:v>
      </x:c>
      <x:c r="D736" s="24" t="n">
        <x:v>47391</x:v>
      </x:c>
      <x:c r="E736" s="13" t="str">
        <x:v>Zagueiro</x:v>
      </x:c>
      <x:c r="F736" s="13" t="str">
        <x:v>LOSC Lille</x:v>
      </x:c>
      <x:c r="G736" s="16"/>
      <x:c r="H736" s="16"/>
      <x:c r="I736" s="16"/>
      <x:c r="J736" s="16"/>
      <x:c r="K736" s="16" t="str">
        <x:f>IF(COUNT(G736,I736)=0,"",AVERAGE(G736,I736))</x:f>
      </x:c>
      <x:c r="L736" s="16" t="str">
        <x:f>IF(COUNT(H736,J736)=0,"",AVERAGE(H736,J736))</x:f>
      </x:c>
      <x:c r="M736" s="16" t="str">
        <x:f>IF(OR(K736="",L736=""),"",L736-K736)</x:f>
      </x:c>
      <x:c r="N736" s="16" t="str">
        <x:f>IF(AND(A736=A735,ISNUMBER(K736),ISNUMBER(K735)),K736-K735,"")</x:f>
      </x:c>
      <x:c r="O736" s="13" t="str">
        <x:v>Sem informação</x:v>
      </x:c>
      <x:c r="P736" s="26"/>
      <x:c r="Q736" s="13" t="str"/>
      <x:c r="R736" s="13" t="str"/>
      <x:c r="S736" s="13" t="str"/>
      <x:c r="T736" s="13" t="str"/>
    </x:row>
    <x:row r="737">
      <x:c r="A737" s="13" t="str">
        <x:v>Alexsandro</x:v>
      </x:c>
      <x:c r="B737" s="13" t="n">
        <x:v>2029</x:v>
      </x:c>
      <x:c r="C737" s="13" t="str">
        <x:v>T4</x:v>
      </x:c>
      <x:c r="D737" s="24" t="n">
        <x:v>47483</x:v>
      </x:c>
      <x:c r="E737" s="13" t="str">
        <x:v>Zagueiro</x:v>
      </x:c>
      <x:c r="F737" s="13" t="str">
        <x:v>LOSC Lille</x:v>
      </x:c>
      <x:c r="G737" s="16"/>
      <x:c r="H737" s="16"/>
      <x:c r="I737" s="16"/>
      <x:c r="J737" s="16"/>
      <x:c r="K737" s="16" t="str">
        <x:f>IF(COUNT(G737,I737)=0,"",AVERAGE(G737,I737))</x:f>
      </x:c>
      <x:c r="L737" s="16" t="str">
        <x:f>IF(COUNT(H737,J737)=0,"",AVERAGE(H737,J737))</x:f>
      </x:c>
      <x:c r="M737" s="16" t="str">
        <x:f>IF(OR(K737="",L737=""),"",L737-K737)</x:f>
      </x:c>
      <x:c r="N737" s="16" t="str">
        <x:f>IF(AND(A737=A736,ISNUMBER(K737),ISNUMBER(K736)),K737-K736,"")</x:f>
      </x:c>
      <x:c r="O737" s="13" t="str">
        <x:v>Sem informação</x:v>
      </x:c>
      <x:c r="P737" s="26"/>
      <x:c r="Q737" s="13" t="str"/>
      <x:c r="R737" s="13" t="str"/>
      <x:c r="S737" s="13" t="str"/>
      <x:c r="T737" s="13" t="str"/>
    </x:row>
    <x:row r="738">
      <x:c r="A738" s="13" t="str">
        <x:v>Alexsandro</x:v>
      </x:c>
      <x:c r="B738" s="13" t="n">
        <x:v>2030</x:v>
      </x:c>
      <x:c r="C738" s="13" t="str">
        <x:v>T1</x:v>
      </x:c>
      <x:c r="D738" s="24" t="n">
        <x:v>47573</x:v>
      </x:c>
      <x:c r="E738" s="13" t="str">
        <x:v>Zagueiro</x:v>
      </x:c>
      <x:c r="F738" s="13" t="str">
        <x:v>LOSC Lille</x:v>
      </x:c>
      <x:c r="G738" s="16"/>
      <x:c r="H738" s="16"/>
      <x:c r="I738" s="16"/>
      <x:c r="J738" s="16"/>
      <x:c r="K738" s="16" t="str">
        <x:f>IF(COUNT(G738,I738)=0,"",AVERAGE(G738,I738))</x:f>
      </x:c>
      <x:c r="L738" s="16" t="str">
        <x:f>IF(COUNT(H738,J738)=0,"",AVERAGE(H738,J738))</x:f>
      </x:c>
      <x:c r="M738" s="16" t="str">
        <x:f>IF(OR(K738="",L738=""),"",L738-K738)</x:f>
      </x:c>
      <x:c r="N738" s="16" t="str">
        <x:f>IF(AND(A738=A737,ISNUMBER(K738),ISNUMBER(K737)),K738-K737,"")</x:f>
      </x:c>
      <x:c r="O738" s="13" t="str">
        <x:v>Sem informação</x:v>
      </x:c>
      <x:c r="P738" s="26"/>
      <x:c r="Q738" s="13" t="str"/>
      <x:c r="R738" s="13" t="str"/>
      <x:c r="S738" s="13" t="str"/>
      <x:c r="T738" s="13" t="str"/>
    </x:row>
    <x:row r="739">
      <x:c r="A739" s="13" t="str">
        <x:v>Alexsandro</x:v>
      </x:c>
      <x:c r="B739" s="13" t="n">
        <x:v>2030</x:v>
      </x:c>
      <x:c r="C739" s="13" t="str">
        <x:v>T2</x:v>
      </x:c>
      <x:c r="D739" s="24" t="n">
        <x:v>47664</x:v>
      </x:c>
      <x:c r="E739" s="13" t="str">
        <x:v>Zagueiro</x:v>
      </x:c>
      <x:c r="F739" s="13" t="str">
        <x:v>LOSC Lille</x:v>
      </x:c>
      <x:c r="G739" s="16"/>
      <x:c r="H739" s="16"/>
      <x:c r="I739" s="16"/>
      <x:c r="J739" s="16"/>
      <x:c r="K739" s="16" t="str">
        <x:f>IF(COUNT(G739,I739)=0,"",AVERAGE(G739,I739))</x:f>
      </x:c>
      <x:c r="L739" s="16" t="str">
        <x:f>IF(COUNT(H739,J739)=0,"",AVERAGE(H739,J739))</x:f>
      </x:c>
      <x:c r="M739" s="16" t="str">
        <x:f>IF(OR(K739="",L739=""),"",L739-K739)</x:f>
      </x:c>
      <x:c r="N739" s="16" t="str">
        <x:f>IF(AND(A739=A738,ISNUMBER(K739),ISNUMBER(K738)),K739-K738,"")</x:f>
      </x:c>
      <x:c r="O739" s="13" t="str">
        <x:v>Sem informação</x:v>
      </x:c>
      <x:c r="P739" s="26"/>
      <x:c r="Q739" s="13" t="str"/>
      <x:c r="R739" s="13" t="str"/>
      <x:c r="S739" s="13" t="str"/>
      <x:c r="T739" s="13" t="str"/>
    </x:row>
    <x:row r="740">
      <x:c r="A740" s="13" t="str">
        <x:v>Alexsandro</x:v>
      </x:c>
      <x:c r="B740" s="13" t="n">
        <x:v>2030</x:v>
      </x:c>
      <x:c r="C740" s="13" t="str">
        <x:v>T3</x:v>
      </x:c>
      <x:c r="D740" s="24" t="n">
        <x:v>47756</x:v>
      </x:c>
      <x:c r="E740" s="13" t="str">
        <x:v>Zagueiro</x:v>
      </x:c>
      <x:c r="F740" s="13" t="str">
        <x:v>LOSC Lille</x:v>
      </x:c>
      <x:c r="G740" s="16"/>
      <x:c r="H740" s="16"/>
      <x:c r="I740" s="16"/>
      <x:c r="J740" s="16"/>
      <x:c r="K740" s="16" t="str">
        <x:f>IF(COUNT(G740,I740)=0,"",AVERAGE(G740,I740))</x:f>
      </x:c>
      <x:c r="L740" s="16" t="str">
        <x:f>IF(COUNT(H740,J740)=0,"",AVERAGE(H740,J740))</x:f>
      </x:c>
      <x:c r="M740" s="16" t="str">
        <x:f>IF(OR(K740="",L740=""),"",L740-K740)</x:f>
      </x:c>
      <x:c r="N740" s="16" t="str">
        <x:f>IF(AND(A740=A739,ISNUMBER(K740),ISNUMBER(K739)),K740-K739,"")</x:f>
      </x:c>
      <x:c r="O740" s="13" t="str">
        <x:v>Sem informação</x:v>
      </x:c>
      <x:c r="P740" s="26"/>
      <x:c r="Q740" s="13" t="str"/>
      <x:c r="R740" s="13" t="str"/>
      <x:c r="S740" s="13" t="str"/>
      <x:c r="T740" s="13" t="str"/>
    </x:row>
    <x:row r="741">
      <x:c r="A741" s="13" t="str">
        <x:v>Alexsandro</x:v>
      </x:c>
      <x:c r="B741" s="13" t="n">
        <x:v>2030</x:v>
      </x:c>
      <x:c r="C741" s="13" t="str">
        <x:v>T4</x:v>
      </x:c>
      <x:c r="D741" s="24" t="n">
        <x:v>47848</x:v>
      </x:c>
      <x:c r="E741" s="13" t="str">
        <x:v>Zagueiro</x:v>
      </x:c>
      <x:c r="F741" s="13" t="str">
        <x:v>LOSC Lille</x:v>
      </x:c>
      <x:c r="G741" s="16"/>
      <x:c r="H741" s="16"/>
      <x:c r="I741" s="16"/>
      <x:c r="J741" s="16"/>
      <x:c r="K741" s="16" t="str">
        <x:f>IF(COUNT(G741,I741)=0,"",AVERAGE(G741,I741))</x:f>
      </x:c>
      <x:c r="L741" s="16" t="str">
        <x:f>IF(COUNT(H741,J741)=0,"",AVERAGE(H741,J741))</x:f>
      </x:c>
      <x:c r="M741" s="16" t="str">
        <x:f>IF(OR(K741="",L741=""),"",L741-K741)</x:f>
      </x:c>
      <x:c r="N741" s="16" t="str">
        <x:f>IF(AND(A741=A740,ISNUMBER(K741),ISNUMBER(K740)),K741-K740,"")</x:f>
      </x:c>
      <x:c r="O741" s="13" t="str">
        <x:v>Sem informação</x:v>
      </x:c>
      <x:c r="P741" s="26"/>
      <x:c r="Q741" s="13" t="str"/>
      <x:c r="R741" s="13" t="str"/>
      <x:c r="S741" s="13" t="str"/>
      <x:c r="T741" s="13" t="str"/>
    </x:row>
    <x:row r="742">
      <x:c r="A742" s="13" t="str">
        <x:v>Arthur</x:v>
      </x:c>
      <x:c r="B742" s="13" t="n">
        <x:v>2026</x:v>
      </x:c>
      <x:c r="C742" s="13" t="str">
        <x:v>T1</x:v>
      </x:c>
      <x:c r="D742" s="24" t="n">
        <x:v>46112</x:v>
      </x:c>
      <x:c r="E742" s="13" t="str">
        <x:v>Lateral-direito</x:v>
      </x:c>
      <x:c r="F742" s="13" t="str">
        <x:v>Bayer Leverkusen</x:v>
      </x:c>
      <x:c r="G742" s="16"/>
      <x:c r="H742" s="16"/>
      <x:c r="I742" s="16"/>
      <x:c r="J742" s="16"/>
      <x:c r="K742" s="16" t="str">
        <x:f>IF(COUNT(G742,I742)=0,"",AVERAGE(G742,I742))</x:f>
      </x:c>
      <x:c r="L742" s="16" t="str">
        <x:f>IF(COUNT(H742,J742)=0,"",AVERAGE(H742,J742))</x:f>
      </x:c>
      <x:c r="M742" s="16" t="str">
        <x:f>IF(OR(K742="",L742=""),"",L742-K742)</x:f>
      </x:c>
      <x:c r="N742" s="16" t="str">
        <x:f>""</x:f>
      </x:c>
      <x:c r="O742" s="13" t="str">
        <x:v>Sem informação</x:v>
      </x:c>
      <x:c r="P742" s="26"/>
      <x:c r="Q742" s="13" t="str"/>
      <x:c r="R742" s="13" t="str"/>
      <x:c r="S742" s="13" t="str"/>
      <x:c r="T742" s="13" t="str"/>
    </x:row>
    <x:row r="743">
      <x:c r="A743" s="13" t="str">
        <x:v>Arthur</x:v>
      </x:c>
      <x:c r="B743" s="13" t="n">
        <x:v>2026</x:v>
      </x:c>
      <x:c r="C743" s="13" t="str">
        <x:v>T2</x:v>
      </x:c>
      <x:c r="D743" s="24" t="n">
        <x:v>46203</x:v>
      </x:c>
      <x:c r="E743" s="13" t="str">
        <x:v>Lateral-direito</x:v>
      </x:c>
      <x:c r="F743" s="13" t="str">
        <x:v>Bayer Leverkusen</x:v>
      </x:c>
      <x:c r="G743" s="16"/>
      <x:c r="H743" s="16"/>
      <x:c r="I743" s="16"/>
      <x:c r="J743" s="16"/>
      <x:c r="K743" s="16" t="str">
        <x:f>IF(COUNT(G743,I743)=0,"",AVERAGE(G743,I743))</x:f>
      </x:c>
      <x:c r="L743" s="16" t="str">
        <x:f>IF(COUNT(H743,J743)=0,"",AVERAGE(H743,J743))</x:f>
      </x:c>
      <x:c r="M743" s="16" t="str">
        <x:f>IF(OR(K743="",L743=""),"",L743-K743)</x:f>
      </x:c>
      <x:c r="N743" s="16" t="str">
        <x:f>IF(AND(A743=A742,ISNUMBER(K743),ISNUMBER(K742)),K743-K742,"")</x:f>
      </x:c>
      <x:c r="O743" s="13" t="str">
        <x:v>Sem informação</x:v>
      </x:c>
      <x:c r="P743" s="26"/>
      <x:c r="Q743" s="13" t="str"/>
      <x:c r="R743" s="13" t="str"/>
      <x:c r="S743" s="13" t="str"/>
      <x:c r="T743" s="13" t="str"/>
    </x:row>
    <x:row r="744">
      <x:c r="A744" s="13" t="str">
        <x:v>Arthur</x:v>
      </x:c>
      <x:c r="B744" s="13" t="n">
        <x:v>2026</x:v>
      </x:c>
      <x:c r="C744" s="13" t="str">
        <x:v>T3</x:v>
      </x:c>
      <x:c r="D744" s="24" t="n">
        <x:v>46295</x:v>
      </x:c>
      <x:c r="E744" s="13" t="str">
        <x:v>Lateral-direito</x:v>
      </x:c>
      <x:c r="F744" s="13" t="str">
        <x:v>Bayer Leverkusen</x:v>
      </x:c>
      <x:c r="G744" s="16"/>
      <x:c r="H744" s="16"/>
      <x:c r="I744" s="16"/>
      <x:c r="J744" s="16"/>
      <x:c r="K744" s="16" t="str">
        <x:f>IF(COUNT(G744,I744)=0,"",AVERAGE(G744,I744))</x:f>
      </x:c>
      <x:c r="L744" s="16" t="str">
        <x:f>IF(COUNT(H744,J744)=0,"",AVERAGE(H744,J744))</x:f>
      </x:c>
      <x:c r="M744" s="16" t="str">
        <x:f>IF(OR(K744="",L744=""),"",L744-K744)</x:f>
      </x:c>
      <x:c r="N744" s="16" t="str">
        <x:f>IF(AND(A744=A743,ISNUMBER(K744),ISNUMBER(K743)),K744-K743,"")</x:f>
      </x:c>
      <x:c r="O744" s="13" t="str">
        <x:v>Sem informação</x:v>
      </x:c>
      <x:c r="P744" s="26"/>
      <x:c r="Q744" s="13" t="str"/>
      <x:c r="R744" s="13" t="str"/>
      <x:c r="S744" s="13" t="str"/>
      <x:c r="T744" s="13" t="str"/>
    </x:row>
    <x:row r="745">
      <x:c r="A745" s="13" t="str">
        <x:v>Arthur</x:v>
      </x:c>
      <x:c r="B745" s="13" t="n">
        <x:v>2026</x:v>
      </x:c>
      <x:c r="C745" s="13" t="str">
        <x:v>T4</x:v>
      </x:c>
      <x:c r="D745" s="24" t="n">
        <x:v>46387</x:v>
      </x:c>
      <x:c r="E745" s="13" t="str">
        <x:v>Lateral-direito</x:v>
      </x:c>
      <x:c r="F745" s="13" t="str">
        <x:v>Bayer Leverkusen</x:v>
      </x:c>
      <x:c r="G745" s="16"/>
      <x:c r="H745" s="16"/>
      <x:c r="I745" s="16"/>
      <x:c r="J745" s="16"/>
      <x:c r="K745" s="16" t="str">
        <x:f>IF(COUNT(G745,I745)=0,"",AVERAGE(G745,I745))</x:f>
      </x:c>
      <x:c r="L745" s="16" t="str">
        <x:f>IF(COUNT(H745,J745)=0,"",AVERAGE(H745,J745))</x:f>
      </x:c>
      <x:c r="M745" s="16" t="str">
        <x:f>IF(OR(K745="",L745=""),"",L745-K745)</x:f>
      </x:c>
      <x:c r="N745" s="16" t="str">
        <x:f>IF(AND(A745=A744,ISNUMBER(K745),ISNUMBER(K744)),K745-K744,"")</x:f>
      </x:c>
      <x:c r="O745" s="13" t="str">
        <x:v>Sem informação</x:v>
      </x:c>
      <x:c r="P745" s="26"/>
      <x:c r="Q745" s="13" t="str"/>
      <x:c r="R745" s="13" t="str"/>
      <x:c r="S745" s="13" t="str"/>
      <x:c r="T745" s="13" t="str"/>
    </x:row>
    <x:row r="746">
      <x:c r="A746" s="13" t="str">
        <x:v>Arthur</x:v>
      </x:c>
      <x:c r="B746" s="13" t="n">
        <x:v>2027</x:v>
      </x:c>
      <x:c r="C746" s="13" t="str">
        <x:v>T1</x:v>
      </x:c>
      <x:c r="D746" s="24" t="n">
        <x:v>46477</x:v>
      </x:c>
      <x:c r="E746" s="13" t="str">
        <x:v>Lateral-direito</x:v>
      </x:c>
      <x:c r="F746" s="13" t="str">
        <x:v>Bayer Leverkusen</x:v>
      </x:c>
      <x:c r="G746" s="16"/>
      <x:c r="H746" s="16"/>
      <x:c r="I746" s="16"/>
      <x:c r="J746" s="16"/>
      <x:c r="K746" s="16" t="str">
        <x:f>IF(COUNT(G746,I746)=0,"",AVERAGE(G746,I746))</x:f>
      </x:c>
      <x:c r="L746" s="16" t="str">
        <x:f>IF(COUNT(H746,J746)=0,"",AVERAGE(H746,J746))</x:f>
      </x:c>
      <x:c r="M746" s="16" t="str">
        <x:f>IF(OR(K746="",L746=""),"",L746-K746)</x:f>
      </x:c>
      <x:c r="N746" s="16" t="str">
        <x:f>IF(AND(A746=A745,ISNUMBER(K746),ISNUMBER(K745)),K746-K745,"")</x:f>
      </x:c>
      <x:c r="O746" s="13" t="str">
        <x:v>Sem informação</x:v>
      </x:c>
      <x:c r="P746" s="26"/>
      <x:c r="Q746" s="13" t="str"/>
      <x:c r="R746" s="13" t="str"/>
      <x:c r="S746" s="13" t="str"/>
      <x:c r="T746" s="13" t="str"/>
    </x:row>
    <x:row r="747">
      <x:c r="A747" s="13" t="str">
        <x:v>Arthur</x:v>
      </x:c>
      <x:c r="B747" s="13" t="n">
        <x:v>2027</x:v>
      </x:c>
      <x:c r="C747" s="13" t="str">
        <x:v>T2</x:v>
      </x:c>
      <x:c r="D747" s="24" t="n">
        <x:v>46568</x:v>
      </x:c>
      <x:c r="E747" s="13" t="str">
        <x:v>Lateral-direito</x:v>
      </x:c>
      <x:c r="F747" s="13" t="str">
        <x:v>Bayer Leverkusen</x:v>
      </x:c>
      <x:c r="G747" s="16"/>
      <x:c r="H747" s="16"/>
      <x:c r="I747" s="16"/>
      <x:c r="J747" s="16"/>
      <x:c r="K747" s="16" t="str">
        <x:f>IF(COUNT(G747,I747)=0,"",AVERAGE(G747,I747))</x:f>
      </x:c>
      <x:c r="L747" s="16" t="str">
        <x:f>IF(COUNT(H747,J747)=0,"",AVERAGE(H747,J747))</x:f>
      </x:c>
      <x:c r="M747" s="16" t="str">
        <x:f>IF(OR(K747="",L747=""),"",L747-K747)</x:f>
      </x:c>
      <x:c r="N747" s="16" t="str">
        <x:f>IF(AND(A747=A746,ISNUMBER(K747),ISNUMBER(K746)),K747-K746,"")</x:f>
      </x:c>
      <x:c r="O747" s="13" t="str">
        <x:v>Sem informação</x:v>
      </x:c>
      <x:c r="P747" s="26"/>
      <x:c r="Q747" s="13" t="str"/>
      <x:c r="R747" s="13" t="str"/>
      <x:c r="S747" s="13" t="str"/>
      <x:c r="T747" s="13" t="str"/>
    </x:row>
    <x:row r="748">
      <x:c r="A748" s="13" t="str">
        <x:v>Arthur</x:v>
      </x:c>
      <x:c r="B748" s="13" t="n">
        <x:v>2027</x:v>
      </x:c>
      <x:c r="C748" s="13" t="str">
        <x:v>T3</x:v>
      </x:c>
      <x:c r="D748" s="24" t="n">
        <x:v>46660</x:v>
      </x:c>
      <x:c r="E748" s="13" t="str">
        <x:v>Lateral-direito</x:v>
      </x:c>
      <x:c r="F748" s="13" t="str">
        <x:v>Bayer Leverkusen</x:v>
      </x:c>
      <x:c r="G748" s="16"/>
      <x:c r="H748" s="16"/>
      <x:c r="I748" s="16"/>
      <x:c r="J748" s="16"/>
      <x:c r="K748" s="16" t="str">
        <x:f>IF(COUNT(G748,I748)=0,"",AVERAGE(G748,I748))</x:f>
      </x:c>
      <x:c r="L748" s="16" t="str">
        <x:f>IF(COUNT(H748,J748)=0,"",AVERAGE(H748,J748))</x:f>
      </x:c>
      <x:c r="M748" s="16" t="str">
        <x:f>IF(OR(K748="",L748=""),"",L748-K748)</x:f>
      </x:c>
      <x:c r="N748" s="16" t="str">
        <x:f>IF(AND(A748=A747,ISNUMBER(K748),ISNUMBER(K747)),K748-K747,"")</x:f>
      </x:c>
      <x:c r="O748" s="13" t="str">
        <x:v>Sem informação</x:v>
      </x:c>
      <x:c r="P748" s="26"/>
      <x:c r="Q748" s="13" t="str"/>
      <x:c r="R748" s="13" t="str"/>
      <x:c r="S748" s="13" t="str"/>
      <x:c r="T748" s="13" t="str"/>
    </x:row>
    <x:row r="749">
      <x:c r="A749" s="13" t="str">
        <x:v>Arthur</x:v>
      </x:c>
      <x:c r="B749" s="13" t="n">
        <x:v>2027</x:v>
      </x:c>
      <x:c r="C749" s="13" t="str">
        <x:v>T4</x:v>
      </x:c>
      <x:c r="D749" s="24" t="n">
        <x:v>46752</x:v>
      </x:c>
      <x:c r="E749" s="13" t="str">
        <x:v>Lateral-direito</x:v>
      </x:c>
      <x:c r="F749" s="13" t="str">
        <x:v>Bayer Leverkusen</x:v>
      </x:c>
      <x:c r="G749" s="16"/>
      <x:c r="H749" s="16"/>
      <x:c r="I749" s="16"/>
      <x:c r="J749" s="16"/>
      <x:c r="K749" s="16" t="str">
        <x:f>IF(COUNT(G749,I749)=0,"",AVERAGE(G749,I749))</x:f>
      </x:c>
      <x:c r="L749" s="16" t="str">
        <x:f>IF(COUNT(H749,J749)=0,"",AVERAGE(H749,J749))</x:f>
      </x:c>
      <x:c r="M749" s="16" t="str">
        <x:f>IF(OR(K749="",L749=""),"",L749-K749)</x:f>
      </x:c>
      <x:c r="N749" s="16" t="str">
        <x:f>IF(AND(A749=A748,ISNUMBER(K749),ISNUMBER(K748)),K749-K748,"")</x:f>
      </x:c>
      <x:c r="O749" s="13" t="str">
        <x:v>Sem informação</x:v>
      </x:c>
      <x:c r="P749" s="26"/>
      <x:c r="Q749" s="13" t="str"/>
      <x:c r="R749" s="13" t="str"/>
      <x:c r="S749" s="13" t="str"/>
      <x:c r="T749" s="13" t="str"/>
    </x:row>
    <x:row r="750">
      <x:c r="A750" s="13" t="str">
        <x:v>Arthur</x:v>
      </x:c>
      <x:c r="B750" s="13" t="n">
        <x:v>2028</x:v>
      </x:c>
      <x:c r="C750" s="13" t="str">
        <x:v>T1</x:v>
      </x:c>
      <x:c r="D750" s="24" t="n">
        <x:v>46843</x:v>
      </x:c>
      <x:c r="E750" s="13" t="str">
        <x:v>Lateral-direito</x:v>
      </x:c>
      <x:c r="F750" s="13" t="str">
        <x:v>Bayer Leverkusen</x:v>
      </x:c>
      <x:c r="G750" s="16"/>
      <x:c r="H750" s="16"/>
      <x:c r="I750" s="16"/>
      <x:c r="J750" s="16"/>
      <x:c r="K750" s="16" t="str">
        <x:f>IF(COUNT(G750,I750)=0,"",AVERAGE(G750,I750))</x:f>
      </x:c>
      <x:c r="L750" s="16" t="str">
        <x:f>IF(COUNT(H750,J750)=0,"",AVERAGE(H750,J750))</x:f>
      </x:c>
      <x:c r="M750" s="16" t="str">
        <x:f>IF(OR(K750="",L750=""),"",L750-K750)</x:f>
      </x:c>
      <x:c r="N750" s="16" t="str">
        <x:f>IF(AND(A750=A749,ISNUMBER(K750),ISNUMBER(K749)),K750-K749,"")</x:f>
      </x:c>
      <x:c r="O750" s="13" t="str">
        <x:v>Sem informação</x:v>
      </x:c>
      <x:c r="P750" s="26"/>
      <x:c r="Q750" s="13" t="str"/>
      <x:c r="R750" s="13" t="str"/>
      <x:c r="S750" s="13" t="str"/>
      <x:c r="T750" s="13" t="str"/>
    </x:row>
    <x:row r="751">
      <x:c r="A751" s="13" t="str">
        <x:v>Arthur</x:v>
      </x:c>
      <x:c r="B751" s="13" t="n">
        <x:v>2028</x:v>
      </x:c>
      <x:c r="C751" s="13" t="str">
        <x:v>T2</x:v>
      </x:c>
      <x:c r="D751" s="24" t="n">
        <x:v>46934</x:v>
      </x:c>
      <x:c r="E751" s="13" t="str">
        <x:v>Lateral-direito</x:v>
      </x:c>
      <x:c r="F751" s="13" t="str">
        <x:v>Bayer Leverkusen</x:v>
      </x:c>
      <x:c r="G751" s="16"/>
      <x:c r="H751" s="16"/>
      <x:c r="I751" s="16"/>
      <x:c r="J751" s="16"/>
      <x:c r="K751" s="16" t="str">
        <x:f>IF(COUNT(G751,I751)=0,"",AVERAGE(G751,I751))</x:f>
      </x:c>
      <x:c r="L751" s="16" t="str">
        <x:f>IF(COUNT(H751,J751)=0,"",AVERAGE(H751,J751))</x:f>
      </x:c>
      <x:c r="M751" s="16" t="str">
        <x:f>IF(OR(K751="",L751=""),"",L751-K751)</x:f>
      </x:c>
      <x:c r="N751" s="16" t="str">
        <x:f>IF(AND(A751=A750,ISNUMBER(K751),ISNUMBER(K750)),K751-K750,"")</x:f>
      </x:c>
      <x:c r="O751" s="13" t="str">
        <x:v>Sem informação</x:v>
      </x:c>
      <x:c r="P751" s="26"/>
      <x:c r="Q751" s="13" t="str"/>
      <x:c r="R751" s="13" t="str"/>
      <x:c r="S751" s="13" t="str"/>
      <x:c r="T751" s="13" t="str"/>
    </x:row>
    <x:row r="752">
      <x:c r="A752" s="13" t="str">
        <x:v>Arthur</x:v>
      </x:c>
      <x:c r="B752" s="13" t="n">
        <x:v>2028</x:v>
      </x:c>
      <x:c r="C752" s="13" t="str">
        <x:v>T3</x:v>
      </x:c>
      <x:c r="D752" s="24" t="n">
        <x:v>47026</x:v>
      </x:c>
      <x:c r="E752" s="13" t="str">
        <x:v>Lateral-direito</x:v>
      </x:c>
      <x:c r="F752" s="13" t="str">
        <x:v>Bayer Leverkusen</x:v>
      </x:c>
      <x:c r="G752" s="16"/>
      <x:c r="H752" s="16"/>
      <x:c r="I752" s="16"/>
      <x:c r="J752" s="16"/>
      <x:c r="K752" s="16" t="str">
        <x:f>IF(COUNT(G752,I752)=0,"",AVERAGE(G752,I752))</x:f>
      </x:c>
      <x:c r="L752" s="16" t="str">
        <x:f>IF(COUNT(H752,J752)=0,"",AVERAGE(H752,J752))</x:f>
      </x:c>
      <x:c r="M752" s="16" t="str">
        <x:f>IF(OR(K752="",L752=""),"",L752-K752)</x:f>
      </x:c>
      <x:c r="N752" s="16" t="str">
        <x:f>IF(AND(A752=A751,ISNUMBER(K752),ISNUMBER(K751)),K752-K751,"")</x:f>
      </x:c>
      <x:c r="O752" s="13" t="str">
        <x:v>Sem informação</x:v>
      </x:c>
      <x:c r="P752" s="26"/>
      <x:c r="Q752" s="13" t="str"/>
      <x:c r="R752" s="13" t="str"/>
      <x:c r="S752" s="13" t="str"/>
      <x:c r="T752" s="13" t="str"/>
    </x:row>
    <x:row r="753">
      <x:c r="A753" s="13" t="str">
        <x:v>Arthur</x:v>
      </x:c>
      <x:c r="B753" s="13" t="n">
        <x:v>2028</x:v>
      </x:c>
      <x:c r="C753" s="13" t="str">
        <x:v>T4</x:v>
      </x:c>
      <x:c r="D753" s="24" t="n">
        <x:v>47118</x:v>
      </x:c>
      <x:c r="E753" s="13" t="str">
        <x:v>Lateral-direito</x:v>
      </x:c>
      <x:c r="F753" s="13" t="str">
        <x:v>Bayer Leverkusen</x:v>
      </x:c>
      <x:c r="G753" s="16"/>
      <x:c r="H753" s="16"/>
      <x:c r="I753" s="16"/>
      <x:c r="J753" s="16"/>
      <x:c r="K753" s="16" t="str">
        <x:f>IF(COUNT(G753,I753)=0,"",AVERAGE(G753,I753))</x:f>
      </x:c>
      <x:c r="L753" s="16" t="str">
        <x:f>IF(COUNT(H753,J753)=0,"",AVERAGE(H753,J753))</x:f>
      </x:c>
      <x:c r="M753" s="16" t="str">
        <x:f>IF(OR(K753="",L753=""),"",L753-K753)</x:f>
      </x:c>
      <x:c r="N753" s="16" t="str">
        <x:f>IF(AND(A753=A752,ISNUMBER(K753),ISNUMBER(K752)),K753-K752,"")</x:f>
      </x:c>
      <x:c r="O753" s="13" t="str">
        <x:v>Sem informação</x:v>
      </x:c>
      <x:c r="P753" s="26"/>
      <x:c r="Q753" s="13" t="str"/>
      <x:c r="R753" s="13" t="str"/>
      <x:c r="S753" s="13" t="str"/>
      <x:c r="T753" s="13" t="str"/>
    </x:row>
    <x:row r="754">
      <x:c r="A754" s="13" t="str">
        <x:v>Arthur</x:v>
      </x:c>
      <x:c r="B754" s="13" t="n">
        <x:v>2029</x:v>
      </x:c>
      <x:c r="C754" s="13" t="str">
        <x:v>T1</x:v>
      </x:c>
      <x:c r="D754" s="24" t="n">
        <x:v>47208</x:v>
      </x:c>
      <x:c r="E754" s="13" t="str">
        <x:v>Lateral-direito</x:v>
      </x:c>
      <x:c r="F754" s="13" t="str">
        <x:v>Bayer Leverkusen</x:v>
      </x:c>
      <x:c r="G754" s="16"/>
      <x:c r="H754" s="16"/>
      <x:c r="I754" s="16"/>
      <x:c r="J754" s="16"/>
      <x:c r="K754" s="16" t="str">
        <x:f>IF(COUNT(G754,I754)=0,"",AVERAGE(G754,I754))</x:f>
      </x:c>
      <x:c r="L754" s="16" t="str">
        <x:f>IF(COUNT(H754,J754)=0,"",AVERAGE(H754,J754))</x:f>
      </x:c>
      <x:c r="M754" s="16" t="str">
        <x:f>IF(OR(K754="",L754=""),"",L754-K754)</x:f>
      </x:c>
      <x:c r="N754" s="16" t="str">
        <x:f>IF(AND(A754=A753,ISNUMBER(K754),ISNUMBER(K753)),K754-K753,"")</x:f>
      </x:c>
      <x:c r="O754" s="13" t="str">
        <x:v>Sem informação</x:v>
      </x:c>
      <x:c r="P754" s="26"/>
      <x:c r="Q754" s="13" t="str"/>
      <x:c r="R754" s="13" t="str"/>
      <x:c r="S754" s="13" t="str"/>
      <x:c r="T754" s="13" t="str"/>
    </x:row>
    <x:row r="755">
      <x:c r="A755" s="13" t="str">
        <x:v>Arthur</x:v>
      </x:c>
      <x:c r="B755" s="13" t="n">
        <x:v>2029</x:v>
      </x:c>
      <x:c r="C755" s="13" t="str">
        <x:v>T2</x:v>
      </x:c>
      <x:c r="D755" s="24" t="n">
        <x:v>47299</x:v>
      </x:c>
      <x:c r="E755" s="13" t="str">
        <x:v>Lateral-direito</x:v>
      </x:c>
      <x:c r="F755" s="13" t="str">
        <x:v>Bayer Leverkusen</x:v>
      </x:c>
      <x:c r="G755" s="16"/>
      <x:c r="H755" s="16"/>
      <x:c r="I755" s="16"/>
      <x:c r="J755" s="16"/>
      <x:c r="K755" s="16" t="str">
        <x:f>IF(COUNT(G755,I755)=0,"",AVERAGE(G755,I755))</x:f>
      </x:c>
      <x:c r="L755" s="16" t="str">
        <x:f>IF(COUNT(H755,J755)=0,"",AVERAGE(H755,J755))</x:f>
      </x:c>
      <x:c r="M755" s="16" t="str">
        <x:f>IF(OR(K755="",L755=""),"",L755-K755)</x:f>
      </x:c>
      <x:c r="N755" s="16" t="str">
        <x:f>IF(AND(A755=A754,ISNUMBER(K755),ISNUMBER(K754)),K755-K754,"")</x:f>
      </x:c>
      <x:c r="O755" s="13" t="str">
        <x:v>Sem informação</x:v>
      </x:c>
      <x:c r="P755" s="26"/>
      <x:c r="Q755" s="13" t="str"/>
      <x:c r="R755" s="13" t="str"/>
      <x:c r="S755" s="13" t="str"/>
      <x:c r="T755" s="13" t="str"/>
    </x:row>
    <x:row r="756">
      <x:c r="A756" s="13" t="str">
        <x:v>Arthur</x:v>
      </x:c>
      <x:c r="B756" s="13" t="n">
        <x:v>2029</x:v>
      </x:c>
      <x:c r="C756" s="13" t="str">
        <x:v>T3</x:v>
      </x:c>
      <x:c r="D756" s="24" t="n">
        <x:v>47391</x:v>
      </x:c>
      <x:c r="E756" s="13" t="str">
        <x:v>Lateral-direito</x:v>
      </x:c>
      <x:c r="F756" s="13" t="str">
        <x:v>Bayer Leverkusen</x:v>
      </x:c>
      <x:c r="G756" s="16"/>
      <x:c r="H756" s="16"/>
      <x:c r="I756" s="16"/>
      <x:c r="J756" s="16"/>
      <x:c r="K756" s="16" t="str">
        <x:f>IF(COUNT(G756,I756)=0,"",AVERAGE(G756,I756))</x:f>
      </x:c>
      <x:c r="L756" s="16" t="str">
        <x:f>IF(COUNT(H756,J756)=0,"",AVERAGE(H756,J756))</x:f>
      </x:c>
      <x:c r="M756" s="16" t="str">
        <x:f>IF(OR(K756="",L756=""),"",L756-K756)</x:f>
      </x:c>
      <x:c r="N756" s="16" t="str">
        <x:f>IF(AND(A756=A755,ISNUMBER(K756),ISNUMBER(K755)),K756-K755,"")</x:f>
      </x:c>
      <x:c r="O756" s="13" t="str">
        <x:v>Sem informação</x:v>
      </x:c>
      <x:c r="P756" s="26"/>
      <x:c r="Q756" s="13" t="str"/>
      <x:c r="R756" s="13" t="str"/>
      <x:c r="S756" s="13" t="str"/>
      <x:c r="T756" s="13" t="str"/>
    </x:row>
    <x:row r="757">
      <x:c r="A757" s="13" t="str">
        <x:v>Arthur</x:v>
      </x:c>
      <x:c r="B757" s="13" t="n">
        <x:v>2029</x:v>
      </x:c>
      <x:c r="C757" s="13" t="str">
        <x:v>T4</x:v>
      </x:c>
      <x:c r="D757" s="24" t="n">
        <x:v>47483</x:v>
      </x:c>
      <x:c r="E757" s="13" t="str">
        <x:v>Lateral-direito</x:v>
      </x:c>
      <x:c r="F757" s="13" t="str">
        <x:v>Bayer Leverkusen</x:v>
      </x:c>
      <x:c r="G757" s="16"/>
      <x:c r="H757" s="16"/>
      <x:c r="I757" s="16"/>
      <x:c r="J757" s="16"/>
      <x:c r="K757" s="16" t="str">
        <x:f>IF(COUNT(G757,I757)=0,"",AVERAGE(G757,I757))</x:f>
      </x:c>
      <x:c r="L757" s="16" t="str">
        <x:f>IF(COUNT(H757,J757)=0,"",AVERAGE(H757,J757))</x:f>
      </x:c>
      <x:c r="M757" s="16" t="str">
        <x:f>IF(OR(K757="",L757=""),"",L757-K757)</x:f>
      </x:c>
      <x:c r="N757" s="16" t="str">
        <x:f>IF(AND(A757=A756,ISNUMBER(K757),ISNUMBER(K756)),K757-K756,"")</x:f>
      </x:c>
      <x:c r="O757" s="13" t="str">
        <x:v>Sem informação</x:v>
      </x:c>
      <x:c r="P757" s="26"/>
      <x:c r="Q757" s="13" t="str"/>
      <x:c r="R757" s="13" t="str"/>
      <x:c r="S757" s="13" t="str"/>
      <x:c r="T757" s="13" t="str"/>
    </x:row>
    <x:row r="758">
      <x:c r="A758" s="13" t="str">
        <x:v>Arthur</x:v>
      </x:c>
      <x:c r="B758" s="13" t="n">
        <x:v>2030</x:v>
      </x:c>
      <x:c r="C758" s="13" t="str">
        <x:v>T1</x:v>
      </x:c>
      <x:c r="D758" s="24" t="n">
        <x:v>47573</x:v>
      </x:c>
      <x:c r="E758" s="13" t="str">
        <x:v>Lateral-direito</x:v>
      </x:c>
      <x:c r="F758" s="13" t="str">
        <x:v>Bayer Leverkusen</x:v>
      </x:c>
      <x:c r="G758" s="16"/>
      <x:c r="H758" s="16"/>
      <x:c r="I758" s="16"/>
      <x:c r="J758" s="16"/>
      <x:c r="K758" s="16" t="str">
        <x:f>IF(COUNT(G758,I758)=0,"",AVERAGE(G758,I758))</x:f>
      </x:c>
      <x:c r="L758" s="16" t="str">
        <x:f>IF(COUNT(H758,J758)=0,"",AVERAGE(H758,J758))</x:f>
      </x:c>
      <x:c r="M758" s="16" t="str">
        <x:f>IF(OR(K758="",L758=""),"",L758-K758)</x:f>
      </x:c>
      <x:c r="N758" s="16" t="str">
        <x:f>IF(AND(A758=A757,ISNUMBER(K758),ISNUMBER(K757)),K758-K757,"")</x:f>
      </x:c>
      <x:c r="O758" s="13" t="str">
        <x:v>Sem informação</x:v>
      </x:c>
      <x:c r="P758" s="26"/>
      <x:c r="Q758" s="13" t="str"/>
      <x:c r="R758" s="13" t="str"/>
      <x:c r="S758" s="13" t="str"/>
      <x:c r="T758" s="13" t="str"/>
    </x:row>
    <x:row r="759">
      <x:c r="A759" s="13" t="str">
        <x:v>Arthur</x:v>
      </x:c>
      <x:c r="B759" s="13" t="n">
        <x:v>2030</x:v>
      </x:c>
      <x:c r="C759" s="13" t="str">
        <x:v>T2</x:v>
      </x:c>
      <x:c r="D759" s="24" t="n">
        <x:v>47664</x:v>
      </x:c>
      <x:c r="E759" s="13" t="str">
        <x:v>Lateral-direito</x:v>
      </x:c>
      <x:c r="F759" s="13" t="str">
        <x:v>Bayer Leverkusen</x:v>
      </x:c>
      <x:c r="G759" s="16"/>
      <x:c r="H759" s="16"/>
      <x:c r="I759" s="16"/>
      <x:c r="J759" s="16"/>
      <x:c r="K759" s="16" t="str">
        <x:f>IF(COUNT(G759,I759)=0,"",AVERAGE(G759,I759))</x:f>
      </x:c>
      <x:c r="L759" s="16" t="str">
        <x:f>IF(COUNT(H759,J759)=0,"",AVERAGE(H759,J759))</x:f>
      </x:c>
      <x:c r="M759" s="16" t="str">
        <x:f>IF(OR(K759="",L759=""),"",L759-K759)</x:f>
      </x:c>
      <x:c r="N759" s="16" t="str">
        <x:f>IF(AND(A759=A758,ISNUMBER(K759),ISNUMBER(K758)),K759-K758,"")</x:f>
      </x:c>
      <x:c r="O759" s="13" t="str">
        <x:v>Sem informação</x:v>
      </x:c>
      <x:c r="P759" s="26"/>
      <x:c r="Q759" s="13" t="str"/>
      <x:c r="R759" s="13" t="str"/>
      <x:c r="S759" s="13" t="str"/>
      <x:c r="T759" s="13" t="str"/>
    </x:row>
    <x:row r="760">
      <x:c r="A760" s="13" t="str">
        <x:v>Arthur</x:v>
      </x:c>
      <x:c r="B760" s="13" t="n">
        <x:v>2030</x:v>
      </x:c>
      <x:c r="C760" s="13" t="str">
        <x:v>T3</x:v>
      </x:c>
      <x:c r="D760" s="24" t="n">
        <x:v>47756</x:v>
      </x:c>
      <x:c r="E760" s="13" t="str">
        <x:v>Lateral-direito</x:v>
      </x:c>
      <x:c r="F760" s="13" t="str">
        <x:v>Bayer Leverkusen</x:v>
      </x:c>
      <x:c r="G760" s="16"/>
      <x:c r="H760" s="16"/>
      <x:c r="I760" s="16"/>
      <x:c r="J760" s="16"/>
      <x:c r="K760" s="16" t="str">
        <x:f>IF(COUNT(G760,I760)=0,"",AVERAGE(G760,I760))</x:f>
      </x:c>
      <x:c r="L760" s="16" t="str">
        <x:f>IF(COUNT(H760,J760)=0,"",AVERAGE(H760,J760))</x:f>
      </x:c>
      <x:c r="M760" s="16" t="str">
        <x:f>IF(OR(K760="",L760=""),"",L760-K760)</x:f>
      </x:c>
      <x:c r="N760" s="16" t="str">
        <x:f>IF(AND(A760=A759,ISNUMBER(K760),ISNUMBER(K759)),K760-K759,"")</x:f>
      </x:c>
      <x:c r="O760" s="13" t="str">
        <x:v>Sem informação</x:v>
      </x:c>
      <x:c r="P760" s="26"/>
      <x:c r="Q760" s="13" t="str"/>
      <x:c r="R760" s="13" t="str"/>
      <x:c r="S760" s="13" t="str"/>
      <x:c r="T760" s="13" t="str"/>
    </x:row>
    <x:row r="761">
      <x:c r="A761" s="13" t="str">
        <x:v>Arthur</x:v>
      </x:c>
      <x:c r="B761" s="13" t="n">
        <x:v>2030</x:v>
      </x:c>
      <x:c r="C761" s="13" t="str">
        <x:v>T4</x:v>
      </x:c>
      <x:c r="D761" s="24" t="n">
        <x:v>47848</x:v>
      </x:c>
      <x:c r="E761" s="13" t="str">
        <x:v>Lateral-direito</x:v>
      </x:c>
      <x:c r="F761" s="13" t="str">
        <x:v>Bayer Leverkusen</x:v>
      </x:c>
      <x:c r="G761" s="16"/>
      <x:c r="H761" s="16"/>
      <x:c r="I761" s="16"/>
      <x:c r="J761" s="16"/>
      <x:c r="K761" s="16" t="str">
        <x:f>IF(COUNT(G761,I761)=0,"",AVERAGE(G761,I761))</x:f>
      </x:c>
      <x:c r="L761" s="16" t="str">
        <x:f>IF(COUNT(H761,J761)=0,"",AVERAGE(H761,J761))</x:f>
      </x:c>
      <x:c r="M761" s="16" t="str">
        <x:f>IF(OR(K761="",L761=""),"",L761-K761)</x:f>
      </x:c>
      <x:c r="N761" s="16" t="str">
        <x:f>IF(AND(A761=A760,ISNUMBER(K761),ISNUMBER(K760)),K761-K760,"")</x:f>
      </x:c>
      <x:c r="O761" s="13" t="str">
        <x:v>Sem informação</x:v>
      </x:c>
      <x:c r="P761" s="26"/>
      <x:c r="Q761" s="13" t="str"/>
      <x:c r="R761" s="13" t="str"/>
      <x:c r="S761" s="13" t="str"/>
      <x:c r="T761" s="13" t="str"/>
    </x:row>
    <x:row r="762">
      <x:c r="A762" s="13" t="str">
        <x:v>Bremer</x:v>
      </x:c>
      <x:c r="B762" s="13" t="n">
        <x:v>2026</x:v>
      </x:c>
      <x:c r="C762" s="13" t="str">
        <x:v>T1</x:v>
      </x:c>
      <x:c r="D762" s="24" t="n">
        <x:v>46112</x:v>
      </x:c>
      <x:c r="E762" s="13" t="str">
        <x:v>Zagueiro</x:v>
      </x:c>
      <x:c r="F762" s="13" t="str">
        <x:v>Juventus FC</x:v>
      </x:c>
      <x:c r="G762" s="16"/>
      <x:c r="H762" s="16"/>
      <x:c r="I762" s="16"/>
      <x:c r="J762" s="16"/>
      <x:c r="K762" s="16" t="str">
        <x:f>IF(COUNT(G762,I762)=0,"",AVERAGE(G762,I762))</x:f>
      </x:c>
      <x:c r="L762" s="16" t="str">
        <x:f>IF(COUNT(H762,J762)=0,"",AVERAGE(H762,J762))</x:f>
      </x:c>
      <x:c r="M762" s="16" t="str">
        <x:f>IF(OR(K762="",L762=""),"",L762-K762)</x:f>
      </x:c>
      <x:c r="N762" s="16" t="str">
        <x:f>""</x:f>
      </x:c>
      <x:c r="O762" s="13" t="str">
        <x:v>Sem informação</x:v>
      </x:c>
      <x:c r="P762" s="26"/>
      <x:c r="Q762" s="13" t="str"/>
      <x:c r="R762" s="13" t="str"/>
      <x:c r="S762" s="13" t="str"/>
      <x:c r="T762" s="13" t="str"/>
    </x:row>
    <x:row r="763">
      <x:c r="A763" s="13" t="str">
        <x:v>Bremer</x:v>
      </x:c>
      <x:c r="B763" s="13" t="n">
        <x:v>2026</x:v>
      </x:c>
      <x:c r="C763" s="13" t="str">
        <x:v>T2</x:v>
      </x:c>
      <x:c r="D763" s="24" t="n">
        <x:v>46203</x:v>
      </x:c>
      <x:c r="E763" s="13" t="str">
        <x:v>Zagueiro</x:v>
      </x:c>
      <x:c r="F763" s="13" t="str">
        <x:v>Juventus FC</x:v>
      </x:c>
      <x:c r="G763" s="16"/>
      <x:c r="H763" s="16"/>
      <x:c r="I763" s="16"/>
      <x:c r="J763" s="16"/>
      <x:c r="K763" s="16" t="str">
        <x:f>IF(COUNT(G763,I763)=0,"",AVERAGE(G763,I763))</x:f>
      </x:c>
      <x:c r="L763" s="16" t="str">
        <x:f>IF(COUNT(H763,J763)=0,"",AVERAGE(H763,J763))</x:f>
      </x:c>
      <x:c r="M763" s="16" t="str">
        <x:f>IF(OR(K763="",L763=""),"",L763-K763)</x:f>
      </x:c>
      <x:c r="N763" s="16" t="str">
        <x:f>IF(AND(A763=A762,ISNUMBER(K763),ISNUMBER(K762)),K763-K762,"")</x:f>
      </x:c>
      <x:c r="O763" s="13" t="str">
        <x:v>Sem informação</x:v>
      </x:c>
      <x:c r="P763" s="26"/>
      <x:c r="Q763" s="13" t="str"/>
      <x:c r="R763" s="13" t="str"/>
      <x:c r="S763" s="13" t="str"/>
      <x:c r="T763" s="13" t="str"/>
    </x:row>
    <x:row r="764">
      <x:c r="A764" s="13" t="str">
        <x:v>Bremer</x:v>
      </x:c>
      <x:c r="B764" s="13" t="n">
        <x:v>2026</x:v>
      </x:c>
      <x:c r="C764" s="13" t="str">
        <x:v>T3</x:v>
      </x:c>
      <x:c r="D764" s="24" t="n">
        <x:v>46295</x:v>
      </x:c>
      <x:c r="E764" s="13" t="str">
        <x:v>Zagueiro</x:v>
      </x:c>
      <x:c r="F764" s="13" t="str">
        <x:v>Juventus FC</x:v>
      </x:c>
      <x:c r="G764" s="16"/>
      <x:c r="H764" s="16"/>
      <x:c r="I764" s="16"/>
      <x:c r="J764" s="16"/>
      <x:c r="K764" s="16" t="str">
        <x:f>IF(COUNT(G764,I764)=0,"",AVERAGE(G764,I764))</x:f>
      </x:c>
      <x:c r="L764" s="16" t="str">
        <x:f>IF(COUNT(H764,J764)=0,"",AVERAGE(H764,J764))</x:f>
      </x:c>
      <x:c r="M764" s="16" t="str">
        <x:f>IF(OR(K764="",L764=""),"",L764-K764)</x:f>
      </x:c>
      <x:c r="N764" s="16" t="str">
        <x:f>IF(AND(A764=A763,ISNUMBER(K764),ISNUMBER(K763)),K764-K763,"")</x:f>
      </x:c>
      <x:c r="O764" s="13" t="str">
        <x:v>Sem informação</x:v>
      </x:c>
      <x:c r="P764" s="26"/>
      <x:c r="Q764" s="13" t="str"/>
      <x:c r="R764" s="13" t="str"/>
      <x:c r="S764" s="13" t="str"/>
      <x:c r="T764" s="13" t="str"/>
    </x:row>
    <x:row r="765">
      <x:c r="A765" s="13" t="str">
        <x:v>Bremer</x:v>
      </x:c>
      <x:c r="B765" s="13" t="n">
        <x:v>2026</x:v>
      </x:c>
      <x:c r="C765" s="13" t="str">
        <x:v>T4</x:v>
      </x:c>
      <x:c r="D765" s="24" t="n">
        <x:v>46387</x:v>
      </x:c>
      <x:c r="E765" s="13" t="str">
        <x:v>Zagueiro</x:v>
      </x:c>
      <x:c r="F765" s="13" t="str">
        <x:v>Juventus FC</x:v>
      </x:c>
      <x:c r="G765" s="16"/>
      <x:c r="H765" s="16"/>
      <x:c r="I765" s="16"/>
      <x:c r="J765" s="16"/>
      <x:c r="K765" s="16" t="str">
        <x:f>IF(COUNT(G765,I765)=0,"",AVERAGE(G765,I765))</x:f>
      </x:c>
      <x:c r="L765" s="16" t="str">
        <x:f>IF(COUNT(H765,J765)=0,"",AVERAGE(H765,J765))</x:f>
      </x:c>
      <x:c r="M765" s="16" t="str">
        <x:f>IF(OR(K765="",L765=""),"",L765-K765)</x:f>
      </x:c>
      <x:c r="N765" s="16" t="str">
        <x:f>IF(AND(A765=A764,ISNUMBER(K765),ISNUMBER(K764)),K765-K764,"")</x:f>
      </x:c>
      <x:c r="O765" s="13" t="str">
        <x:v>Sem informação</x:v>
      </x:c>
      <x:c r="P765" s="26"/>
      <x:c r="Q765" s="13" t="str"/>
      <x:c r="R765" s="13" t="str"/>
      <x:c r="S765" s="13" t="str"/>
      <x:c r="T765" s="13" t="str"/>
    </x:row>
    <x:row r="766">
      <x:c r="A766" s="13" t="str">
        <x:v>Bremer</x:v>
      </x:c>
      <x:c r="B766" s="13" t="n">
        <x:v>2027</x:v>
      </x:c>
      <x:c r="C766" s="13" t="str">
        <x:v>T1</x:v>
      </x:c>
      <x:c r="D766" s="24" t="n">
        <x:v>46477</x:v>
      </x:c>
      <x:c r="E766" s="13" t="str">
        <x:v>Zagueiro</x:v>
      </x:c>
      <x:c r="F766" s="13" t="str">
        <x:v>Juventus FC</x:v>
      </x:c>
      <x:c r="G766" s="16"/>
      <x:c r="H766" s="16"/>
      <x:c r="I766" s="16"/>
      <x:c r="J766" s="16"/>
      <x:c r="K766" s="16" t="str">
        <x:f>IF(COUNT(G766,I766)=0,"",AVERAGE(G766,I766))</x:f>
      </x:c>
      <x:c r="L766" s="16" t="str">
        <x:f>IF(COUNT(H766,J766)=0,"",AVERAGE(H766,J766))</x:f>
      </x:c>
      <x:c r="M766" s="16" t="str">
        <x:f>IF(OR(K766="",L766=""),"",L766-K766)</x:f>
      </x:c>
      <x:c r="N766" s="16" t="str">
        <x:f>IF(AND(A766=A765,ISNUMBER(K766),ISNUMBER(K765)),K766-K765,"")</x:f>
      </x:c>
      <x:c r="O766" s="13" t="str">
        <x:v>Sem informação</x:v>
      </x:c>
      <x:c r="P766" s="26"/>
      <x:c r="Q766" s="13" t="str"/>
      <x:c r="R766" s="13" t="str"/>
      <x:c r="S766" s="13" t="str"/>
      <x:c r="T766" s="13" t="str"/>
    </x:row>
    <x:row r="767">
      <x:c r="A767" s="13" t="str">
        <x:v>Bremer</x:v>
      </x:c>
      <x:c r="B767" s="13" t="n">
        <x:v>2027</x:v>
      </x:c>
      <x:c r="C767" s="13" t="str">
        <x:v>T2</x:v>
      </x:c>
      <x:c r="D767" s="24" t="n">
        <x:v>46568</x:v>
      </x:c>
      <x:c r="E767" s="13" t="str">
        <x:v>Zagueiro</x:v>
      </x:c>
      <x:c r="F767" s="13" t="str">
        <x:v>Juventus FC</x:v>
      </x:c>
      <x:c r="G767" s="16"/>
      <x:c r="H767" s="16"/>
      <x:c r="I767" s="16"/>
      <x:c r="J767" s="16"/>
      <x:c r="K767" s="16" t="str">
        <x:f>IF(COUNT(G767,I767)=0,"",AVERAGE(G767,I767))</x:f>
      </x:c>
      <x:c r="L767" s="16" t="str">
        <x:f>IF(COUNT(H767,J767)=0,"",AVERAGE(H767,J767))</x:f>
      </x:c>
      <x:c r="M767" s="16" t="str">
        <x:f>IF(OR(K767="",L767=""),"",L767-K767)</x:f>
      </x:c>
      <x:c r="N767" s="16" t="str">
        <x:f>IF(AND(A767=A766,ISNUMBER(K767),ISNUMBER(K766)),K767-K766,"")</x:f>
      </x:c>
      <x:c r="O767" s="13" t="str">
        <x:v>Sem informação</x:v>
      </x:c>
      <x:c r="P767" s="26"/>
      <x:c r="Q767" s="13" t="str"/>
      <x:c r="R767" s="13" t="str"/>
      <x:c r="S767" s="13" t="str"/>
      <x:c r="T767" s="13" t="str"/>
    </x:row>
    <x:row r="768">
      <x:c r="A768" s="13" t="str">
        <x:v>Bremer</x:v>
      </x:c>
      <x:c r="B768" s="13" t="n">
        <x:v>2027</x:v>
      </x:c>
      <x:c r="C768" s="13" t="str">
        <x:v>T3</x:v>
      </x:c>
      <x:c r="D768" s="24" t="n">
        <x:v>46660</x:v>
      </x:c>
      <x:c r="E768" s="13" t="str">
        <x:v>Zagueiro</x:v>
      </x:c>
      <x:c r="F768" s="13" t="str">
        <x:v>Juventus FC</x:v>
      </x:c>
      <x:c r="G768" s="16"/>
      <x:c r="H768" s="16"/>
      <x:c r="I768" s="16"/>
      <x:c r="J768" s="16"/>
      <x:c r="K768" s="16" t="str">
        <x:f>IF(COUNT(G768,I768)=0,"",AVERAGE(G768,I768))</x:f>
      </x:c>
      <x:c r="L768" s="16" t="str">
        <x:f>IF(COUNT(H768,J768)=0,"",AVERAGE(H768,J768))</x:f>
      </x:c>
      <x:c r="M768" s="16" t="str">
        <x:f>IF(OR(K768="",L768=""),"",L768-K768)</x:f>
      </x:c>
      <x:c r="N768" s="16" t="str">
        <x:f>IF(AND(A768=A767,ISNUMBER(K768),ISNUMBER(K767)),K768-K767,"")</x:f>
      </x:c>
      <x:c r="O768" s="13" t="str">
        <x:v>Sem informação</x:v>
      </x:c>
      <x:c r="P768" s="26"/>
      <x:c r="Q768" s="13" t="str"/>
      <x:c r="R768" s="13" t="str"/>
      <x:c r="S768" s="13" t="str"/>
      <x:c r="T768" s="13" t="str"/>
    </x:row>
    <x:row r="769">
      <x:c r="A769" s="13" t="str">
        <x:v>Bremer</x:v>
      </x:c>
      <x:c r="B769" s="13" t="n">
        <x:v>2027</x:v>
      </x:c>
      <x:c r="C769" s="13" t="str">
        <x:v>T4</x:v>
      </x:c>
      <x:c r="D769" s="24" t="n">
        <x:v>46752</x:v>
      </x:c>
      <x:c r="E769" s="13" t="str">
        <x:v>Zagueiro</x:v>
      </x:c>
      <x:c r="F769" s="13" t="str">
        <x:v>Juventus FC</x:v>
      </x:c>
      <x:c r="G769" s="16"/>
      <x:c r="H769" s="16"/>
      <x:c r="I769" s="16"/>
      <x:c r="J769" s="16"/>
      <x:c r="K769" s="16" t="str">
        <x:f>IF(COUNT(G769,I769)=0,"",AVERAGE(G769,I769))</x:f>
      </x:c>
      <x:c r="L769" s="16" t="str">
        <x:f>IF(COUNT(H769,J769)=0,"",AVERAGE(H769,J769))</x:f>
      </x:c>
      <x:c r="M769" s="16" t="str">
        <x:f>IF(OR(K769="",L769=""),"",L769-K769)</x:f>
      </x:c>
      <x:c r="N769" s="16" t="str">
        <x:f>IF(AND(A769=A768,ISNUMBER(K769),ISNUMBER(K768)),K769-K768,"")</x:f>
      </x:c>
      <x:c r="O769" s="13" t="str">
        <x:v>Sem informação</x:v>
      </x:c>
      <x:c r="P769" s="26"/>
      <x:c r="Q769" s="13" t="str"/>
      <x:c r="R769" s="13" t="str"/>
      <x:c r="S769" s="13" t="str"/>
      <x:c r="T769" s="13" t="str"/>
    </x:row>
    <x:row r="770">
      <x:c r="A770" s="13" t="str">
        <x:v>Bremer</x:v>
      </x:c>
      <x:c r="B770" s="13" t="n">
        <x:v>2028</x:v>
      </x:c>
      <x:c r="C770" s="13" t="str">
        <x:v>T1</x:v>
      </x:c>
      <x:c r="D770" s="24" t="n">
        <x:v>46843</x:v>
      </x:c>
      <x:c r="E770" s="13" t="str">
        <x:v>Zagueiro</x:v>
      </x:c>
      <x:c r="F770" s="13" t="str">
        <x:v>Juventus FC</x:v>
      </x:c>
      <x:c r="G770" s="16"/>
      <x:c r="H770" s="16"/>
      <x:c r="I770" s="16"/>
      <x:c r="J770" s="16"/>
      <x:c r="K770" s="16" t="str">
        <x:f>IF(COUNT(G770,I770)=0,"",AVERAGE(G770,I770))</x:f>
      </x:c>
      <x:c r="L770" s="16" t="str">
        <x:f>IF(COUNT(H770,J770)=0,"",AVERAGE(H770,J770))</x:f>
      </x:c>
      <x:c r="M770" s="16" t="str">
        <x:f>IF(OR(K770="",L770=""),"",L770-K770)</x:f>
      </x:c>
      <x:c r="N770" s="16" t="str">
        <x:f>IF(AND(A770=A769,ISNUMBER(K770),ISNUMBER(K769)),K770-K769,"")</x:f>
      </x:c>
      <x:c r="O770" s="13" t="str">
        <x:v>Sem informação</x:v>
      </x:c>
      <x:c r="P770" s="26"/>
      <x:c r="Q770" s="13" t="str"/>
      <x:c r="R770" s="13" t="str"/>
      <x:c r="S770" s="13" t="str"/>
      <x:c r="T770" s="13" t="str"/>
    </x:row>
    <x:row r="771">
      <x:c r="A771" s="13" t="str">
        <x:v>Bremer</x:v>
      </x:c>
      <x:c r="B771" s="13" t="n">
        <x:v>2028</x:v>
      </x:c>
      <x:c r="C771" s="13" t="str">
        <x:v>T2</x:v>
      </x:c>
      <x:c r="D771" s="24" t="n">
        <x:v>46934</x:v>
      </x:c>
      <x:c r="E771" s="13" t="str">
        <x:v>Zagueiro</x:v>
      </x:c>
      <x:c r="F771" s="13" t="str">
        <x:v>Juventus FC</x:v>
      </x:c>
      <x:c r="G771" s="16"/>
      <x:c r="H771" s="16"/>
      <x:c r="I771" s="16"/>
      <x:c r="J771" s="16"/>
      <x:c r="K771" s="16" t="str">
        <x:f>IF(COUNT(G771,I771)=0,"",AVERAGE(G771,I771))</x:f>
      </x:c>
      <x:c r="L771" s="16" t="str">
        <x:f>IF(COUNT(H771,J771)=0,"",AVERAGE(H771,J771))</x:f>
      </x:c>
      <x:c r="M771" s="16" t="str">
        <x:f>IF(OR(K771="",L771=""),"",L771-K771)</x:f>
      </x:c>
      <x:c r="N771" s="16" t="str">
        <x:f>IF(AND(A771=A770,ISNUMBER(K771),ISNUMBER(K770)),K771-K770,"")</x:f>
      </x:c>
      <x:c r="O771" s="13" t="str">
        <x:v>Sem informação</x:v>
      </x:c>
      <x:c r="P771" s="26"/>
      <x:c r="Q771" s="13" t="str"/>
      <x:c r="R771" s="13" t="str"/>
      <x:c r="S771" s="13" t="str"/>
      <x:c r="T771" s="13" t="str"/>
    </x:row>
    <x:row r="772">
      <x:c r="A772" s="13" t="str">
        <x:v>Bremer</x:v>
      </x:c>
      <x:c r="B772" s="13" t="n">
        <x:v>2028</x:v>
      </x:c>
      <x:c r="C772" s="13" t="str">
        <x:v>T3</x:v>
      </x:c>
      <x:c r="D772" s="24" t="n">
        <x:v>47026</x:v>
      </x:c>
      <x:c r="E772" s="13" t="str">
        <x:v>Zagueiro</x:v>
      </x:c>
      <x:c r="F772" s="13" t="str">
        <x:v>Juventus FC</x:v>
      </x:c>
      <x:c r="G772" s="16"/>
      <x:c r="H772" s="16"/>
      <x:c r="I772" s="16"/>
      <x:c r="J772" s="16"/>
      <x:c r="K772" s="16" t="str">
        <x:f>IF(COUNT(G772,I772)=0,"",AVERAGE(G772,I772))</x:f>
      </x:c>
      <x:c r="L772" s="16" t="str">
        <x:f>IF(COUNT(H772,J772)=0,"",AVERAGE(H772,J772))</x:f>
      </x:c>
      <x:c r="M772" s="16" t="str">
        <x:f>IF(OR(K772="",L772=""),"",L772-K772)</x:f>
      </x:c>
      <x:c r="N772" s="16" t="str">
        <x:f>IF(AND(A772=A771,ISNUMBER(K772),ISNUMBER(K771)),K772-K771,"")</x:f>
      </x:c>
      <x:c r="O772" s="13" t="str">
        <x:v>Sem informação</x:v>
      </x:c>
      <x:c r="P772" s="26"/>
      <x:c r="Q772" s="13" t="str"/>
      <x:c r="R772" s="13" t="str"/>
      <x:c r="S772" s="13" t="str"/>
      <x:c r="T772" s="13" t="str"/>
    </x:row>
    <x:row r="773">
      <x:c r="A773" s="13" t="str">
        <x:v>Bremer</x:v>
      </x:c>
      <x:c r="B773" s="13" t="n">
        <x:v>2028</x:v>
      </x:c>
      <x:c r="C773" s="13" t="str">
        <x:v>T4</x:v>
      </x:c>
      <x:c r="D773" s="24" t="n">
        <x:v>47118</x:v>
      </x:c>
      <x:c r="E773" s="13" t="str">
        <x:v>Zagueiro</x:v>
      </x:c>
      <x:c r="F773" s="13" t="str">
        <x:v>Juventus FC</x:v>
      </x:c>
      <x:c r="G773" s="16"/>
      <x:c r="H773" s="16"/>
      <x:c r="I773" s="16"/>
      <x:c r="J773" s="16"/>
      <x:c r="K773" s="16" t="str">
        <x:f>IF(COUNT(G773,I773)=0,"",AVERAGE(G773,I773))</x:f>
      </x:c>
      <x:c r="L773" s="16" t="str">
        <x:f>IF(COUNT(H773,J773)=0,"",AVERAGE(H773,J773))</x:f>
      </x:c>
      <x:c r="M773" s="16" t="str">
        <x:f>IF(OR(K773="",L773=""),"",L773-K773)</x:f>
      </x:c>
      <x:c r="N773" s="16" t="str">
        <x:f>IF(AND(A773=A772,ISNUMBER(K773),ISNUMBER(K772)),K773-K772,"")</x:f>
      </x:c>
      <x:c r="O773" s="13" t="str">
        <x:v>Sem informação</x:v>
      </x:c>
      <x:c r="P773" s="26"/>
      <x:c r="Q773" s="13" t="str"/>
      <x:c r="R773" s="13" t="str"/>
      <x:c r="S773" s="13" t="str"/>
      <x:c r="T773" s="13" t="str"/>
    </x:row>
    <x:row r="774">
      <x:c r="A774" s="13" t="str">
        <x:v>Bremer</x:v>
      </x:c>
      <x:c r="B774" s="13" t="n">
        <x:v>2029</x:v>
      </x:c>
      <x:c r="C774" s="13" t="str">
        <x:v>T1</x:v>
      </x:c>
      <x:c r="D774" s="24" t="n">
        <x:v>47208</x:v>
      </x:c>
      <x:c r="E774" s="13" t="str">
        <x:v>Zagueiro</x:v>
      </x:c>
      <x:c r="F774" s="13" t="str">
        <x:v>Juventus FC</x:v>
      </x:c>
      <x:c r="G774" s="16"/>
      <x:c r="H774" s="16"/>
      <x:c r="I774" s="16"/>
      <x:c r="J774" s="16"/>
      <x:c r="K774" s="16" t="str">
        <x:f>IF(COUNT(G774,I774)=0,"",AVERAGE(G774,I774))</x:f>
      </x:c>
      <x:c r="L774" s="16" t="str">
        <x:f>IF(COUNT(H774,J774)=0,"",AVERAGE(H774,J774))</x:f>
      </x:c>
      <x:c r="M774" s="16" t="str">
        <x:f>IF(OR(K774="",L774=""),"",L774-K774)</x:f>
      </x:c>
      <x:c r="N774" s="16" t="str">
        <x:f>IF(AND(A774=A773,ISNUMBER(K774),ISNUMBER(K773)),K774-K773,"")</x:f>
      </x:c>
      <x:c r="O774" s="13" t="str">
        <x:v>Sem informação</x:v>
      </x:c>
      <x:c r="P774" s="26"/>
      <x:c r="Q774" s="13" t="str"/>
      <x:c r="R774" s="13" t="str"/>
      <x:c r="S774" s="13" t="str"/>
      <x:c r="T774" s="13" t="str"/>
    </x:row>
    <x:row r="775">
      <x:c r="A775" s="13" t="str">
        <x:v>Bremer</x:v>
      </x:c>
      <x:c r="B775" s="13" t="n">
        <x:v>2029</x:v>
      </x:c>
      <x:c r="C775" s="13" t="str">
        <x:v>T2</x:v>
      </x:c>
      <x:c r="D775" s="24" t="n">
        <x:v>47299</x:v>
      </x:c>
      <x:c r="E775" s="13" t="str">
        <x:v>Zagueiro</x:v>
      </x:c>
      <x:c r="F775" s="13" t="str">
        <x:v>Juventus FC</x:v>
      </x:c>
      <x:c r="G775" s="16"/>
      <x:c r="H775" s="16"/>
      <x:c r="I775" s="16"/>
      <x:c r="J775" s="16"/>
      <x:c r="K775" s="16" t="str">
        <x:f>IF(COUNT(G775,I775)=0,"",AVERAGE(G775,I775))</x:f>
      </x:c>
      <x:c r="L775" s="16" t="str">
        <x:f>IF(COUNT(H775,J775)=0,"",AVERAGE(H775,J775))</x:f>
      </x:c>
      <x:c r="M775" s="16" t="str">
        <x:f>IF(OR(K775="",L775=""),"",L775-K775)</x:f>
      </x:c>
      <x:c r="N775" s="16" t="str">
        <x:f>IF(AND(A775=A774,ISNUMBER(K775),ISNUMBER(K774)),K775-K774,"")</x:f>
      </x:c>
      <x:c r="O775" s="13" t="str">
        <x:v>Sem informação</x:v>
      </x:c>
      <x:c r="P775" s="26"/>
      <x:c r="Q775" s="13" t="str"/>
      <x:c r="R775" s="13" t="str"/>
      <x:c r="S775" s="13" t="str"/>
      <x:c r="T775" s="13" t="str"/>
    </x:row>
    <x:row r="776">
      <x:c r="A776" s="13" t="str">
        <x:v>Bremer</x:v>
      </x:c>
      <x:c r="B776" s="13" t="n">
        <x:v>2029</x:v>
      </x:c>
      <x:c r="C776" s="13" t="str">
        <x:v>T3</x:v>
      </x:c>
      <x:c r="D776" s="24" t="n">
        <x:v>47391</x:v>
      </x:c>
      <x:c r="E776" s="13" t="str">
        <x:v>Zagueiro</x:v>
      </x:c>
      <x:c r="F776" s="13" t="str">
        <x:v>Juventus FC</x:v>
      </x:c>
      <x:c r="G776" s="16"/>
      <x:c r="H776" s="16"/>
      <x:c r="I776" s="16"/>
      <x:c r="J776" s="16"/>
      <x:c r="K776" s="16" t="str">
        <x:f>IF(COUNT(G776,I776)=0,"",AVERAGE(G776,I776))</x:f>
      </x:c>
      <x:c r="L776" s="16" t="str">
        <x:f>IF(COUNT(H776,J776)=0,"",AVERAGE(H776,J776))</x:f>
      </x:c>
      <x:c r="M776" s="16" t="str">
        <x:f>IF(OR(K776="",L776=""),"",L776-K776)</x:f>
      </x:c>
      <x:c r="N776" s="16" t="str">
        <x:f>IF(AND(A776=A775,ISNUMBER(K776),ISNUMBER(K775)),K776-K775,"")</x:f>
      </x:c>
      <x:c r="O776" s="13" t="str">
        <x:v>Sem informação</x:v>
      </x:c>
      <x:c r="P776" s="26"/>
      <x:c r="Q776" s="13" t="str"/>
      <x:c r="R776" s="13" t="str"/>
      <x:c r="S776" s="13" t="str"/>
      <x:c r="T776" s="13" t="str"/>
    </x:row>
    <x:row r="777">
      <x:c r="A777" s="13" t="str">
        <x:v>Bremer</x:v>
      </x:c>
      <x:c r="B777" s="13" t="n">
        <x:v>2029</x:v>
      </x:c>
      <x:c r="C777" s="13" t="str">
        <x:v>T4</x:v>
      </x:c>
      <x:c r="D777" s="24" t="n">
        <x:v>47483</x:v>
      </x:c>
      <x:c r="E777" s="13" t="str">
        <x:v>Zagueiro</x:v>
      </x:c>
      <x:c r="F777" s="13" t="str">
        <x:v>Juventus FC</x:v>
      </x:c>
      <x:c r="G777" s="16"/>
      <x:c r="H777" s="16"/>
      <x:c r="I777" s="16"/>
      <x:c r="J777" s="16"/>
      <x:c r="K777" s="16" t="str">
        <x:f>IF(COUNT(G777,I777)=0,"",AVERAGE(G777,I777))</x:f>
      </x:c>
      <x:c r="L777" s="16" t="str">
        <x:f>IF(COUNT(H777,J777)=0,"",AVERAGE(H777,J777))</x:f>
      </x:c>
      <x:c r="M777" s="16" t="str">
        <x:f>IF(OR(K777="",L777=""),"",L777-K777)</x:f>
      </x:c>
      <x:c r="N777" s="16" t="str">
        <x:f>IF(AND(A777=A776,ISNUMBER(K777),ISNUMBER(K776)),K777-K776,"")</x:f>
      </x:c>
      <x:c r="O777" s="13" t="str">
        <x:v>Sem informação</x:v>
      </x:c>
      <x:c r="P777" s="26"/>
      <x:c r="Q777" s="13" t="str"/>
      <x:c r="R777" s="13" t="str"/>
      <x:c r="S777" s="13" t="str"/>
      <x:c r="T777" s="13" t="str"/>
    </x:row>
    <x:row r="778">
      <x:c r="A778" s="13" t="str">
        <x:v>Bremer</x:v>
      </x:c>
      <x:c r="B778" s="13" t="n">
        <x:v>2030</x:v>
      </x:c>
      <x:c r="C778" s="13" t="str">
        <x:v>T1</x:v>
      </x:c>
      <x:c r="D778" s="24" t="n">
        <x:v>47573</x:v>
      </x:c>
      <x:c r="E778" s="13" t="str">
        <x:v>Zagueiro</x:v>
      </x:c>
      <x:c r="F778" s="13" t="str">
        <x:v>Juventus FC</x:v>
      </x:c>
      <x:c r="G778" s="16"/>
      <x:c r="H778" s="16"/>
      <x:c r="I778" s="16"/>
      <x:c r="J778" s="16"/>
      <x:c r="K778" s="16" t="str">
        <x:f>IF(COUNT(G778,I778)=0,"",AVERAGE(G778,I778))</x:f>
      </x:c>
      <x:c r="L778" s="16" t="str">
        <x:f>IF(COUNT(H778,J778)=0,"",AVERAGE(H778,J778))</x:f>
      </x:c>
      <x:c r="M778" s="16" t="str">
        <x:f>IF(OR(K778="",L778=""),"",L778-K778)</x:f>
      </x:c>
      <x:c r="N778" s="16" t="str">
        <x:f>IF(AND(A778=A777,ISNUMBER(K778),ISNUMBER(K777)),K778-K777,"")</x:f>
      </x:c>
      <x:c r="O778" s="13" t="str">
        <x:v>Sem informação</x:v>
      </x:c>
      <x:c r="P778" s="26"/>
      <x:c r="Q778" s="13" t="str"/>
      <x:c r="R778" s="13" t="str"/>
      <x:c r="S778" s="13" t="str"/>
      <x:c r="T778" s="13" t="str"/>
    </x:row>
    <x:row r="779">
      <x:c r="A779" s="13" t="str">
        <x:v>Bremer</x:v>
      </x:c>
      <x:c r="B779" s="13" t="n">
        <x:v>2030</x:v>
      </x:c>
      <x:c r="C779" s="13" t="str">
        <x:v>T2</x:v>
      </x:c>
      <x:c r="D779" s="24" t="n">
        <x:v>47664</x:v>
      </x:c>
      <x:c r="E779" s="13" t="str">
        <x:v>Zagueiro</x:v>
      </x:c>
      <x:c r="F779" s="13" t="str">
        <x:v>Juventus FC</x:v>
      </x:c>
      <x:c r="G779" s="16"/>
      <x:c r="H779" s="16"/>
      <x:c r="I779" s="16"/>
      <x:c r="J779" s="16"/>
      <x:c r="K779" s="16" t="str">
        <x:f>IF(COUNT(G779,I779)=0,"",AVERAGE(G779,I779))</x:f>
      </x:c>
      <x:c r="L779" s="16" t="str">
        <x:f>IF(COUNT(H779,J779)=0,"",AVERAGE(H779,J779))</x:f>
      </x:c>
      <x:c r="M779" s="16" t="str">
        <x:f>IF(OR(K779="",L779=""),"",L779-K779)</x:f>
      </x:c>
      <x:c r="N779" s="16" t="str">
        <x:f>IF(AND(A779=A778,ISNUMBER(K779),ISNUMBER(K778)),K779-K778,"")</x:f>
      </x:c>
      <x:c r="O779" s="13" t="str">
        <x:v>Sem informação</x:v>
      </x:c>
      <x:c r="P779" s="26"/>
      <x:c r="Q779" s="13" t="str"/>
      <x:c r="R779" s="13" t="str"/>
      <x:c r="S779" s="13" t="str"/>
      <x:c r="T779" s="13" t="str"/>
    </x:row>
    <x:row r="780">
      <x:c r="A780" s="13" t="str">
        <x:v>Bremer</x:v>
      </x:c>
      <x:c r="B780" s="13" t="n">
        <x:v>2030</x:v>
      </x:c>
      <x:c r="C780" s="13" t="str">
        <x:v>T3</x:v>
      </x:c>
      <x:c r="D780" s="24" t="n">
        <x:v>47756</x:v>
      </x:c>
      <x:c r="E780" s="13" t="str">
        <x:v>Zagueiro</x:v>
      </x:c>
      <x:c r="F780" s="13" t="str">
        <x:v>Juventus FC</x:v>
      </x:c>
      <x:c r="G780" s="16"/>
      <x:c r="H780" s="16"/>
      <x:c r="I780" s="16"/>
      <x:c r="J780" s="16"/>
      <x:c r="K780" s="16" t="str">
        <x:f>IF(COUNT(G780,I780)=0,"",AVERAGE(G780,I780))</x:f>
      </x:c>
      <x:c r="L780" s="16" t="str">
        <x:f>IF(COUNT(H780,J780)=0,"",AVERAGE(H780,J780))</x:f>
      </x:c>
      <x:c r="M780" s="16" t="str">
        <x:f>IF(OR(K780="",L780=""),"",L780-K780)</x:f>
      </x:c>
      <x:c r="N780" s="16" t="str">
        <x:f>IF(AND(A780=A779,ISNUMBER(K780),ISNUMBER(K779)),K780-K779,"")</x:f>
      </x:c>
      <x:c r="O780" s="13" t="str">
        <x:v>Sem informação</x:v>
      </x:c>
      <x:c r="P780" s="26"/>
      <x:c r="Q780" s="13" t="str"/>
      <x:c r="R780" s="13" t="str"/>
      <x:c r="S780" s="13" t="str"/>
      <x:c r="T780" s="13" t="str"/>
    </x:row>
    <x:row r="781">
      <x:c r="A781" s="13" t="str">
        <x:v>Bremer</x:v>
      </x:c>
      <x:c r="B781" s="13" t="n">
        <x:v>2030</x:v>
      </x:c>
      <x:c r="C781" s="13" t="str">
        <x:v>T4</x:v>
      </x:c>
      <x:c r="D781" s="24" t="n">
        <x:v>47848</x:v>
      </x:c>
      <x:c r="E781" s="13" t="str">
        <x:v>Zagueiro</x:v>
      </x:c>
      <x:c r="F781" s="13" t="str">
        <x:v>Juventus FC</x:v>
      </x:c>
      <x:c r="G781" s="16"/>
      <x:c r="H781" s="16"/>
      <x:c r="I781" s="16"/>
      <x:c r="J781" s="16"/>
      <x:c r="K781" s="16" t="str">
        <x:f>IF(COUNT(G781,I781)=0,"",AVERAGE(G781,I781))</x:f>
      </x:c>
      <x:c r="L781" s="16" t="str">
        <x:f>IF(COUNT(H781,J781)=0,"",AVERAGE(H781,J781))</x:f>
      </x:c>
      <x:c r="M781" s="16" t="str">
        <x:f>IF(OR(K781="",L781=""),"",L781-K781)</x:f>
      </x:c>
      <x:c r="N781" s="16" t="str">
        <x:f>IF(AND(A781=A780,ISNUMBER(K781),ISNUMBER(K780)),K781-K780,"")</x:f>
      </x:c>
      <x:c r="O781" s="13" t="str">
        <x:v>Sem informação</x:v>
      </x:c>
      <x:c r="P781" s="26"/>
      <x:c r="Q781" s="13" t="str"/>
      <x:c r="R781" s="13" t="str"/>
      <x:c r="S781" s="13" t="str"/>
      <x:c r="T781" s="13" t="str"/>
    </x:row>
    <x:row r="782">
      <x:c r="A782" s="13" t="str">
        <x:v>Gabriel Bontempo</x:v>
      </x:c>
      <x:c r="B782" s="13" t="n">
        <x:v>2026</x:v>
      </x:c>
      <x:c r="C782" s="13" t="str">
        <x:v>T1</x:v>
      </x:c>
      <x:c r="D782" s="24" t="n">
        <x:v>46112</x:v>
      </x:c>
      <x:c r="E782" s="13" t="str">
        <x:v>Mezzala direito</x:v>
      </x:c>
      <x:c r="F782" s="13" t="str">
        <x:v>Santos FC</x:v>
      </x:c>
      <x:c r="G782" s="16"/>
      <x:c r="H782" s="16"/>
      <x:c r="I782" s="16"/>
      <x:c r="J782" s="16"/>
      <x:c r="K782" s="16" t="str">
        <x:f>IF(COUNT(G782,I782)=0,"",AVERAGE(G782,I782))</x:f>
      </x:c>
      <x:c r="L782" s="16" t="str">
        <x:f>IF(COUNT(H782,J782)=0,"",AVERAGE(H782,J782))</x:f>
      </x:c>
      <x:c r="M782" s="16" t="str">
        <x:f>IF(OR(K782="",L782=""),"",L782-K782)</x:f>
      </x:c>
      <x:c r="N782" s="16" t="str">
        <x:f>""</x:f>
      </x:c>
      <x:c r="O782" s="13" t="str">
        <x:v>Sem informação</x:v>
      </x:c>
      <x:c r="P782" s="26"/>
      <x:c r="Q782" s="13" t="str"/>
      <x:c r="R782" s="13" t="str"/>
      <x:c r="S782" s="13" t="str"/>
      <x:c r="T782" s="13" t="str"/>
    </x:row>
    <x:row r="783">
      <x:c r="A783" s="13" t="str">
        <x:v>Gabriel Bontempo</x:v>
      </x:c>
      <x:c r="B783" s="13" t="n">
        <x:v>2026</x:v>
      </x:c>
      <x:c r="C783" s="13" t="str">
        <x:v>T2</x:v>
      </x:c>
      <x:c r="D783" s="24" t="n">
        <x:v>46203</x:v>
      </x:c>
      <x:c r="E783" s="13" t="str">
        <x:v>Mezzala direito</x:v>
      </x:c>
      <x:c r="F783" s="13" t="str">
        <x:v>Santos FC</x:v>
      </x:c>
      <x:c r="G783" s="16"/>
      <x:c r="H783" s="16"/>
      <x:c r="I783" s="16"/>
      <x:c r="J783" s="16"/>
      <x:c r="K783" s="16" t="str">
        <x:f>IF(COUNT(G783,I783)=0,"",AVERAGE(G783,I783))</x:f>
      </x:c>
      <x:c r="L783" s="16" t="str">
        <x:f>IF(COUNT(H783,J783)=0,"",AVERAGE(H783,J783))</x:f>
      </x:c>
      <x:c r="M783" s="16" t="str">
        <x:f>IF(OR(K783="",L783=""),"",L783-K783)</x:f>
      </x:c>
      <x:c r="N783" s="16" t="str">
        <x:f>IF(AND(A783=A782,ISNUMBER(K783),ISNUMBER(K782)),K783-K782,"")</x:f>
      </x:c>
      <x:c r="O783" s="13" t="str">
        <x:v>Sem informação</x:v>
      </x:c>
      <x:c r="P783" s="26"/>
      <x:c r="Q783" s="13" t="str"/>
      <x:c r="R783" s="13" t="str"/>
      <x:c r="S783" s="13" t="str"/>
      <x:c r="T783" s="13" t="str"/>
    </x:row>
    <x:row r="784">
      <x:c r="A784" s="13" t="str">
        <x:v>Gabriel Bontempo</x:v>
      </x:c>
      <x:c r="B784" s="13" t="n">
        <x:v>2026</x:v>
      </x:c>
      <x:c r="C784" s="13" t="str">
        <x:v>T3</x:v>
      </x:c>
      <x:c r="D784" s="24" t="n">
        <x:v>46295</x:v>
      </x:c>
      <x:c r="E784" s="13" t="str">
        <x:v>Mezzala direito</x:v>
      </x:c>
      <x:c r="F784" s="13" t="str">
        <x:v>Santos FC</x:v>
      </x:c>
      <x:c r="G784" s="16"/>
      <x:c r="H784" s="16"/>
      <x:c r="I784" s="16"/>
      <x:c r="J784" s="16"/>
      <x:c r="K784" s="16" t="str">
        <x:f>IF(COUNT(G784,I784)=0,"",AVERAGE(G784,I784))</x:f>
      </x:c>
      <x:c r="L784" s="16" t="str">
        <x:f>IF(COUNT(H784,J784)=0,"",AVERAGE(H784,J784))</x:f>
      </x:c>
      <x:c r="M784" s="16" t="str">
        <x:f>IF(OR(K784="",L784=""),"",L784-K784)</x:f>
      </x:c>
      <x:c r="N784" s="16" t="str">
        <x:f>IF(AND(A784=A783,ISNUMBER(K784),ISNUMBER(K783)),K784-K783,"")</x:f>
      </x:c>
      <x:c r="O784" s="13" t="str">
        <x:v>Sem informação</x:v>
      </x:c>
      <x:c r="P784" s="26"/>
      <x:c r="Q784" s="13" t="str"/>
      <x:c r="R784" s="13" t="str"/>
      <x:c r="S784" s="13" t="str"/>
      <x:c r="T784" s="13" t="str"/>
    </x:row>
    <x:row r="785">
      <x:c r="A785" s="13" t="str">
        <x:v>Gabriel Bontempo</x:v>
      </x:c>
      <x:c r="B785" s="13" t="n">
        <x:v>2026</x:v>
      </x:c>
      <x:c r="C785" s="13" t="str">
        <x:v>T4</x:v>
      </x:c>
      <x:c r="D785" s="24" t="n">
        <x:v>46387</x:v>
      </x:c>
      <x:c r="E785" s="13" t="str">
        <x:v>Mezzala direito</x:v>
      </x:c>
      <x:c r="F785" s="13" t="str">
        <x:v>Santos FC</x:v>
      </x:c>
      <x:c r="G785" s="16"/>
      <x:c r="H785" s="16"/>
      <x:c r="I785" s="16"/>
      <x:c r="J785" s="16"/>
      <x:c r="K785" s="16" t="str">
        <x:f>IF(COUNT(G785,I785)=0,"",AVERAGE(G785,I785))</x:f>
      </x:c>
      <x:c r="L785" s="16" t="str">
        <x:f>IF(COUNT(H785,J785)=0,"",AVERAGE(H785,J785))</x:f>
      </x:c>
      <x:c r="M785" s="16" t="str">
        <x:f>IF(OR(K785="",L785=""),"",L785-K785)</x:f>
      </x:c>
      <x:c r="N785" s="16" t="str">
        <x:f>IF(AND(A785=A784,ISNUMBER(K785),ISNUMBER(K784)),K785-K784,"")</x:f>
      </x:c>
      <x:c r="O785" s="13" t="str">
        <x:v>Sem informação</x:v>
      </x:c>
      <x:c r="P785" s="26"/>
      <x:c r="Q785" s="13" t="str"/>
      <x:c r="R785" s="13" t="str"/>
      <x:c r="S785" s="13" t="str"/>
      <x:c r="T785" s="13" t="str"/>
    </x:row>
    <x:row r="786">
      <x:c r="A786" s="13" t="str">
        <x:v>Gabriel Bontempo</x:v>
      </x:c>
      <x:c r="B786" s="13" t="n">
        <x:v>2027</x:v>
      </x:c>
      <x:c r="C786" s="13" t="str">
        <x:v>T1</x:v>
      </x:c>
      <x:c r="D786" s="24" t="n">
        <x:v>46477</x:v>
      </x:c>
      <x:c r="E786" s="13" t="str">
        <x:v>Mezzala direito</x:v>
      </x:c>
      <x:c r="F786" s="13" t="str">
        <x:v>Santos FC</x:v>
      </x:c>
      <x:c r="G786" s="16"/>
      <x:c r="H786" s="16"/>
      <x:c r="I786" s="16"/>
      <x:c r="J786" s="16"/>
      <x:c r="K786" s="16" t="str">
        <x:f>IF(COUNT(G786,I786)=0,"",AVERAGE(G786,I786))</x:f>
      </x:c>
      <x:c r="L786" s="16" t="str">
        <x:f>IF(COUNT(H786,J786)=0,"",AVERAGE(H786,J786))</x:f>
      </x:c>
      <x:c r="M786" s="16" t="str">
        <x:f>IF(OR(K786="",L786=""),"",L786-K786)</x:f>
      </x:c>
      <x:c r="N786" s="16" t="str">
        <x:f>IF(AND(A786=A785,ISNUMBER(K786),ISNUMBER(K785)),K786-K785,"")</x:f>
      </x:c>
      <x:c r="O786" s="13" t="str">
        <x:v>Sem informação</x:v>
      </x:c>
      <x:c r="P786" s="26"/>
      <x:c r="Q786" s="13" t="str"/>
      <x:c r="R786" s="13" t="str"/>
      <x:c r="S786" s="13" t="str"/>
      <x:c r="T786" s="13" t="str"/>
    </x:row>
    <x:row r="787">
      <x:c r="A787" s="13" t="str">
        <x:v>Gabriel Bontempo</x:v>
      </x:c>
      <x:c r="B787" s="13" t="n">
        <x:v>2027</x:v>
      </x:c>
      <x:c r="C787" s="13" t="str">
        <x:v>T2</x:v>
      </x:c>
      <x:c r="D787" s="24" t="n">
        <x:v>46568</x:v>
      </x:c>
      <x:c r="E787" s="13" t="str">
        <x:v>Mezzala direito</x:v>
      </x:c>
      <x:c r="F787" s="13" t="str">
        <x:v>Santos FC</x:v>
      </x:c>
      <x:c r="G787" s="16"/>
      <x:c r="H787" s="16"/>
      <x:c r="I787" s="16"/>
      <x:c r="J787" s="16"/>
      <x:c r="K787" s="16" t="str">
        <x:f>IF(COUNT(G787,I787)=0,"",AVERAGE(G787,I787))</x:f>
      </x:c>
      <x:c r="L787" s="16" t="str">
        <x:f>IF(COUNT(H787,J787)=0,"",AVERAGE(H787,J787))</x:f>
      </x:c>
      <x:c r="M787" s="16" t="str">
        <x:f>IF(OR(K787="",L787=""),"",L787-K787)</x:f>
      </x:c>
      <x:c r="N787" s="16" t="str">
        <x:f>IF(AND(A787=A786,ISNUMBER(K787),ISNUMBER(K786)),K787-K786,"")</x:f>
      </x:c>
      <x:c r="O787" s="13" t="str">
        <x:v>Sem informação</x:v>
      </x:c>
      <x:c r="P787" s="26"/>
      <x:c r="Q787" s="13" t="str"/>
      <x:c r="R787" s="13" t="str"/>
      <x:c r="S787" s="13" t="str"/>
      <x:c r="T787" s="13" t="str"/>
    </x:row>
    <x:row r="788">
      <x:c r="A788" s="13" t="str">
        <x:v>Gabriel Bontempo</x:v>
      </x:c>
      <x:c r="B788" s="13" t="n">
        <x:v>2027</x:v>
      </x:c>
      <x:c r="C788" s="13" t="str">
        <x:v>T3</x:v>
      </x:c>
      <x:c r="D788" s="24" t="n">
        <x:v>46660</x:v>
      </x:c>
      <x:c r="E788" s="13" t="str">
        <x:v>Mezzala direito</x:v>
      </x:c>
      <x:c r="F788" s="13" t="str">
        <x:v>Santos FC</x:v>
      </x:c>
      <x:c r="G788" s="16"/>
      <x:c r="H788" s="16"/>
      <x:c r="I788" s="16"/>
      <x:c r="J788" s="16"/>
      <x:c r="K788" s="16" t="str">
        <x:f>IF(COUNT(G788,I788)=0,"",AVERAGE(G788,I788))</x:f>
      </x:c>
      <x:c r="L788" s="16" t="str">
        <x:f>IF(COUNT(H788,J788)=0,"",AVERAGE(H788,J788))</x:f>
      </x:c>
      <x:c r="M788" s="16" t="str">
        <x:f>IF(OR(K788="",L788=""),"",L788-K788)</x:f>
      </x:c>
      <x:c r="N788" s="16" t="str">
        <x:f>IF(AND(A788=A787,ISNUMBER(K788),ISNUMBER(K787)),K788-K787,"")</x:f>
      </x:c>
      <x:c r="O788" s="13" t="str">
        <x:v>Sem informação</x:v>
      </x:c>
      <x:c r="P788" s="26"/>
      <x:c r="Q788" s="13" t="str"/>
      <x:c r="R788" s="13" t="str"/>
      <x:c r="S788" s="13" t="str"/>
      <x:c r="T788" s="13" t="str"/>
    </x:row>
    <x:row r="789">
      <x:c r="A789" s="13" t="str">
        <x:v>Gabriel Bontempo</x:v>
      </x:c>
      <x:c r="B789" s="13" t="n">
        <x:v>2027</x:v>
      </x:c>
      <x:c r="C789" s="13" t="str">
        <x:v>T4</x:v>
      </x:c>
      <x:c r="D789" s="24" t="n">
        <x:v>46752</x:v>
      </x:c>
      <x:c r="E789" s="13" t="str">
        <x:v>Mezzala direito</x:v>
      </x:c>
      <x:c r="F789" s="13" t="str">
        <x:v>Santos FC</x:v>
      </x:c>
      <x:c r="G789" s="16"/>
      <x:c r="H789" s="16"/>
      <x:c r="I789" s="16"/>
      <x:c r="J789" s="16"/>
      <x:c r="K789" s="16" t="str">
        <x:f>IF(COUNT(G789,I789)=0,"",AVERAGE(G789,I789))</x:f>
      </x:c>
      <x:c r="L789" s="16" t="str">
        <x:f>IF(COUNT(H789,J789)=0,"",AVERAGE(H789,J789))</x:f>
      </x:c>
      <x:c r="M789" s="16" t="str">
        <x:f>IF(OR(K789="",L789=""),"",L789-K789)</x:f>
      </x:c>
      <x:c r="N789" s="16" t="str">
        <x:f>IF(AND(A789=A788,ISNUMBER(K789),ISNUMBER(K788)),K789-K788,"")</x:f>
      </x:c>
      <x:c r="O789" s="13" t="str">
        <x:v>Sem informação</x:v>
      </x:c>
      <x:c r="P789" s="26"/>
      <x:c r="Q789" s="13" t="str"/>
      <x:c r="R789" s="13" t="str"/>
      <x:c r="S789" s="13" t="str"/>
      <x:c r="T789" s="13" t="str"/>
    </x:row>
    <x:row r="790">
      <x:c r="A790" s="13" t="str">
        <x:v>Gabriel Bontempo</x:v>
      </x:c>
      <x:c r="B790" s="13" t="n">
        <x:v>2028</x:v>
      </x:c>
      <x:c r="C790" s="13" t="str">
        <x:v>T1</x:v>
      </x:c>
      <x:c r="D790" s="24" t="n">
        <x:v>46843</x:v>
      </x:c>
      <x:c r="E790" s="13" t="str">
        <x:v>Mezzala direito</x:v>
      </x:c>
      <x:c r="F790" s="13" t="str">
        <x:v>Santos FC</x:v>
      </x:c>
      <x:c r="G790" s="16"/>
      <x:c r="H790" s="16"/>
      <x:c r="I790" s="16"/>
      <x:c r="J790" s="16"/>
      <x:c r="K790" s="16" t="str">
        <x:f>IF(COUNT(G790,I790)=0,"",AVERAGE(G790,I790))</x:f>
      </x:c>
      <x:c r="L790" s="16" t="str">
        <x:f>IF(COUNT(H790,J790)=0,"",AVERAGE(H790,J790))</x:f>
      </x:c>
      <x:c r="M790" s="16" t="str">
        <x:f>IF(OR(K790="",L790=""),"",L790-K790)</x:f>
      </x:c>
      <x:c r="N790" s="16" t="str">
        <x:f>IF(AND(A790=A789,ISNUMBER(K790),ISNUMBER(K789)),K790-K789,"")</x:f>
      </x:c>
      <x:c r="O790" s="13" t="str">
        <x:v>Sem informação</x:v>
      </x:c>
      <x:c r="P790" s="26"/>
      <x:c r="Q790" s="13" t="str"/>
      <x:c r="R790" s="13" t="str"/>
      <x:c r="S790" s="13" t="str"/>
      <x:c r="T790" s="13" t="str"/>
    </x:row>
    <x:row r="791">
      <x:c r="A791" s="13" t="str">
        <x:v>Gabriel Bontempo</x:v>
      </x:c>
      <x:c r="B791" s="13" t="n">
        <x:v>2028</x:v>
      </x:c>
      <x:c r="C791" s="13" t="str">
        <x:v>T2</x:v>
      </x:c>
      <x:c r="D791" s="24" t="n">
        <x:v>46934</x:v>
      </x:c>
      <x:c r="E791" s="13" t="str">
        <x:v>Mezzala direito</x:v>
      </x:c>
      <x:c r="F791" s="13" t="str">
        <x:v>Santos FC</x:v>
      </x:c>
      <x:c r="G791" s="16"/>
      <x:c r="H791" s="16"/>
      <x:c r="I791" s="16"/>
      <x:c r="J791" s="16"/>
      <x:c r="K791" s="16" t="str">
        <x:f>IF(COUNT(G791,I791)=0,"",AVERAGE(G791,I791))</x:f>
      </x:c>
      <x:c r="L791" s="16" t="str">
        <x:f>IF(COUNT(H791,J791)=0,"",AVERAGE(H791,J791))</x:f>
      </x:c>
      <x:c r="M791" s="16" t="str">
        <x:f>IF(OR(K791="",L791=""),"",L791-K791)</x:f>
      </x:c>
      <x:c r="N791" s="16" t="str">
        <x:f>IF(AND(A791=A790,ISNUMBER(K791),ISNUMBER(K790)),K791-K790,"")</x:f>
      </x:c>
      <x:c r="O791" s="13" t="str">
        <x:v>Sem informação</x:v>
      </x:c>
      <x:c r="P791" s="26"/>
      <x:c r="Q791" s="13" t="str"/>
      <x:c r="R791" s="13" t="str"/>
      <x:c r="S791" s="13" t="str"/>
      <x:c r="T791" s="13" t="str"/>
    </x:row>
    <x:row r="792">
      <x:c r="A792" s="13" t="str">
        <x:v>Gabriel Bontempo</x:v>
      </x:c>
      <x:c r="B792" s="13" t="n">
        <x:v>2028</x:v>
      </x:c>
      <x:c r="C792" s="13" t="str">
        <x:v>T3</x:v>
      </x:c>
      <x:c r="D792" s="24" t="n">
        <x:v>47026</x:v>
      </x:c>
      <x:c r="E792" s="13" t="str">
        <x:v>Mezzala direito</x:v>
      </x:c>
      <x:c r="F792" s="13" t="str">
        <x:v>Santos FC</x:v>
      </x:c>
      <x:c r="G792" s="16"/>
      <x:c r="H792" s="16"/>
      <x:c r="I792" s="16"/>
      <x:c r="J792" s="16"/>
      <x:c r="K792" s="16" t="str">
        <x:f>IF(COUNT(G792,I792)=0,"",AVERAGE(G792,I792))</x:f>
      </x:c>
      <x:c r="L792" s="16" t="str">
        <x:f>IF(COUNT(H792,J792)=0,"",AVERAGE(H792,J792))</x:f>
      </x:c>
      <x:c r="M792" s="16" t="str">
        <x:f>IF(OR(K792="",L792=""),"",L792-K792)</x:f>
      </x:c>
      <x:c r="N792" s="16" t="str">
        <x:f>IF(AND(A792=A791,ISNUMBER(K792),ISNUMBER(K791)),K792-K791,"")</x:f>
      </x:c>
      <x:c r="O792" s="13" t="str">
        <x:v>Sem informação</x:v>
      </x:c>
      <x:c r="P792" s="26"/>
      <x:c r="Q792" s="13" t="str"/>
      <x:c r="R792" s="13" t="str"/>
      <x:c r="S792" s="13" t="str"/>
      <x:c r="T792" s="13" t="str"/>
    </x:row>
    <x:row r="793">
      <x:c r="A793" s="13" t="str">
        <x:v>Gabriel Bontempo</x:v>
      </x:c>
      <x:c r="B793" s="13" t="n">
        <x:v>2028</x:v>
      </x:c>
      <x:c r="C793" s="13" t="str">
        <x:v>T4</x:v>
      </x:c>
      <x:c r="D793" s="24" t="n">
        <x:v>47118</x:v>
      </x:c>
      <x:c r="E793" s="13" t="str">
        <x:v>Mezzala direito</x:v>
      </x:c>
      <x:c r="F793" s="13" t="str">
        <x:v>Santos FC</x:v>
      </x:c>
      <x:c r="G793" s="16"/>
      <x:c r="H793" s="16"/>
      <x:c r="I793" s="16"/>
      <x:c r="J793" s="16"/>
      <x:c r="K793" s="16" t="str">
        <x:f>IF(COUNT(G793,I793)=0,"",AVERAGE(G793,I793))</x:f>
      </x:c>
      <x:c r="L793" s="16" t="str">
        <x:f>IF(COUNT(H793,J793)=0,"",AVERAGE(H793,J793))</x:f>
      </x:c>
      <x:c r="M793" s="16" t="str">
        <x:f>IF(OR(K793="",L793=""),"",L793-K793)</x:f>
      </x:c>
      <x:c r="N793" s="16" t="str">
        <x:f>IF(AND(A793=A792,ISNUMBER(K793),ISNUMBER(K792)),K793-K792,"")</x:f>
      </x:c>
      <x:c r="O793" s="13" t="str">
        <x:v>Sem informação</x:v>
      </x:c>
      <x:c r="P793" s="26"/>
      <x:c r="Q793" s="13" t="str"/>
      <x:c r="R793" s="13" t="str"/>
      <x:c r="S793" s="13" t="str"/>
      <x:c r="T793" s="13" t="str"/>
    </x:row>
    <x:row r="794">
      <x:c r="A794" s="13" t="str">
        <x:v>Gabriel Bontempo</x:v>
      </x:c>
      <x:c r="B794" s="13" t="n">
        <x:v>2029</x:v>
      </x:c>
      <x:c r="C794" s="13" t="str">
        <x:v>T1</x:v>
      </x:c>
      <x:c r="D794" s="24" t="n">
        <x:v>47208</x:v>
      </x:c>
      <x:c r="E794" s="13" t="str">
        <x:v>Mezzala direito</x:v>
      </x:c>
      <x:c r="F794" s="13" t="str">
        <x:v>Santos FC</x:v>
      </x:c>
      <x:c r="G794" s="16"/>
      <x:c r="H794" s="16"/>
      <x:c r="I794" s="16"/>
      <x:c r="J794" s="16"/>
      <x:c r="K794" s="16" t="str">
        <x:f>IF(COUNT(G794,I794)=0,"",AVERAGE(G794,I794))</x:f>
      </x:c>
      <x:c r="L794" s="16" t="str">
        <x:f>IF(COUNT(H794,J794)=0,"",AVERAGE(H794,J794))</x:f>
      </x:c>
      <x:c r="M794" s="16" t="str">
        <x:f>IF(OR(K794="",L794=""),"",L794-K794)</x:f>
      </x:c>
      <x:c r="N794" s="16" t="str">
        <x:f>IF(AND(A794=A793,ISNUMBER(K794),ISNUMBER(K793)),K794-K793,"")</x:f>
      </x:c>
      <x:c r="O794" s="13" t="str">
        <x:v>Sem informação</x:v>
      </x:c>
      <x:c r="P794" s="26"/>
      <x:c r="Q794" s="13" t="str"/>
      <x:c r="R794" s="13" t="str"/>
      <x:c r="S794" s="13" t="str"/>
      <x:c r="T794" s="13" t="str"/>
    </x:row>
    <x:row r="795">
      <x:c r="A795" s="13" t="str">
        <x:v>Gabriel Bontempo</x:v>
      </x:c>
      <x:c r="B795" s="13" t="n">
        <x:v>2029</x:v>
      </x:c>
      <x:c r="C795" s="13" t="str">
        <x:v>T2</x:v>
      </x:c>
      <x:c r="D795" s="24" t="n">
        <x:v>47299</x:v>
      </x:c>
      <x:c r="E795" s="13" t="str">
        <x:v>Mezzala direito</x:v>
      </x:c>
      <x:c r="F795" s="13" t="str">
        <x:v>Santos FC</x:v>
      </x:c>
      <x:c r="G795" s="16"/>
      <x:c r="H795" s="16"/>
      <x:c r="I795" s="16"/>
      <x:c r="J795" s="16"/>
      <x:c r="K795" s="16" t="str">
        <x:f>IF(COUNT(G795,I795)=0,"",AVERAGE(G795,I795))</x:f>
      </x:c>
      <x:c r="L795" s="16" t="str">
        <x:f>IF(COUNT(H795,J795)=0,"",AVERAGE(H795,J795))</x:f>
      </x:c>
      <x:c r="M795" s="16" t="str">
        <x:f>IF(OR(K795="",L795=""),"",L795-K795)</x:f>
      </x:c>
      <x:c r="N795" s="16" t="str">
        <x:f>IF(AND(A795=A794,ISNUMBER(K795),ISNUMBER(K794)),K795-K794,"")</x:f>
      </x:c>
      <x:c r="O795" s="13" t="str">
        <x:v>Sem informação</x:v>
      </x:c>
      <x:c r="P795" s="26"/>
      <x:c r="Q795" s="13" t="str"/>
      <x:c r="R795" s="13" t="str"/>
      <x:c r="S795" s="13" t="str"/>
      <x:c r="T795" s="13" t="str"/>
    </x:row>
    <x:row r="796">
      <x:c r="A796" s="13" t="str">
        <x:v>Gabriel Bontempo</x:v>
      </x:c>
      <x:c r="B796" s="13" t="n">
        <x:v>2029</x:v>
      </x:c>
      <x:c r="C796" s="13" t="str">
        <x:v>T3</x:v>
      </x:c>
      <x:c r="D796" s="24" t="n">
        <x:v>47391</x:v>
      </x:c>
      <x:c r="E796" s="13" t="str">
        <x:v>Mezzala direito</x:v>
      </x:c>
      <x:c r="F796" s="13" t="str">
        <x:v>Santos FC</x:v>
      </x:c>
      <x:c r="G796" s="16"/>
      <x:c r="H796" s="16"/>
      <x:c r="I796" s="16"/>
      <x:c r="J796" s="16"/>
      <x:c r="K796" s="16" t="str">
        <x:f>IF(COUNT(G796,I796)=0,"",AVERAGE(G796,I796))</x:f>
      </x:c>
      <x:c r="L796" s="16" t="str">
        <x:f>IF(COUNT(H796,J796)=0,"",AVERAGE(H796,J796))</x:f>
      </x:c>
      <x:c r="M796" s="16" t="str">
        <x:f>IF(OR(K796="",L796=""),"",L796-K796)</x:f>
      </x:c>
      <x:c r="N796" s="16" t="str">
        <x:f>IF(AND(A796=A795,ISNUMBER(K796),ISNUMBER(K795)),K796-K795,"")</x:f>
      </x:c>
      <x:c r="O796" s="13" t="str">
        <x:v>Sem informação</x:v>
      </x:c>
      <x:c r="P796" s="26"/>
      <x:c r="Q796" s="13" t="str"/>
      <x:c r="R796" s="13" t="str"/>
      <x:c r="S796" s="13" t="str"/>
      <x:c r="T796" s="13" t="str"/>
    </x:row>
    <x:row r="797">
      <x:c r="A797" s="13" t="str">
        <x:v>Gabriel Bontempo</x:v>
      </x:c>
      <x:c r="B797" s="13" t="n">
        <x:v>2029</x:v>
      </x:c>
      <x:c r="C797" s="13" t="str">
        <x:v>T4</x:v>
      </x:c>
      <x:c r="D797" s="24" t="n">
        <x:v>47483</x:v>
      </x:c>
      <x:c r="E797" s="13" t="str">
        <x:v>Mezzala direito</x:v>
      </x:c>
      <x:c r="F797" s="13" t="str">
        <x:v>Santos FC</x:v>
      </x:c>
      <x:c r="G797" s="16"/>
      <x:c r="H797" s="16"/>
      <x:c r="I797" s="16"/>
      <x:c r="J797" s="16"/>
      <x:c r="K797" s="16" t="str">
        <x:f>IF(COUNT(G797,I797)=0,"",AVERAGE(G797,I797))</x:f>
      </x:c>
      <x:c r="L797" s="16" t="str">
        <x:f>IF(COUNT(H797,J797)=0,"",AVERAGE(H797,J797))</x:f>
      </x:c>
      <x:c r="M797" s="16" t="str">
        <x:f>IF(OR(K797="",L797=""),"",L797-K797)</x:f>
      </x:c>
      <x:c r="N797" s="16" t="str">
        <x:f>IF(AND(A797=A796,ISNUMBER(K797),ISNUMBER(K796)),K797-K796,"")</x:f>
      </x:c>
      <x:c r="O797" s="13" t="str">
        <x:v>Sem informação</x:v>
      </x:c>
      <x:c r="P797" s="26"/>
      <x:c r="Q797" s="13" t="str"/>
      <x:c r="R797" s="13" t="str"/>
      <x:c r="S797" s="13" t="str"/>
      <x:c r="T797" s="13" t="str"/>
    </x:row>
    <x:row r="798">
      <x:c r="A798" s="13" t="str">
        <x:v>Gabriel Bontempo</x:v>
      </x:c>
      <x:c r="B798" s="13" t="n">
        <x:v>2030</x:v>
      </x:c>
      <x:c r="C798" s="13" t="str">
        <x:v>T1</x:v>
      </x:c>
      <x:c r="D798" s="24" t="n">
        <x:v>47573</x:v>
      </x:c>
      <x:c r="E798" s="13" t="str">
        <x:v>Mezzala direito</x:v>
      </x:c>
      <x:c r="F798" s="13" t="str">
        <x:v>Santos FC</x:v>
      </x:c>
      <x:c r="G798" s="16"/>
      <x:c r="H798" s="16"/>
      <x:c r="I798" s="16"/>
      <x:c r="J798" s="16"/>
      <x:c r="K798" s="16" t="str">
        <x:f>IF(COUNT(G798,I798)=0,"",AVERAGE(G798,I798))</x:f>
      </x:c>
      <x:c r="L798" s="16" t="str">
        <x:f>IF(COUNT(H798,J798)=0,"",AVERAGE(H798,J798))</x:f>
      </x:c>
      <x:c r="M798" s="16" t="str">
        <x:f>IF(OR(K798="",L798=""),"",L798-K798)</x:f>
      </x:c>
      <x:c r="N798" s="16" t="str">
        <x:f>IF(AND(A798=A797,ISNUMBER(K798),ISNUMBER(K797)),K798-K797,"")</x:f>
      </x:c>
      <x:c r="O798" s="13" t="str">
        <x:v>Sem informação</x:v>
      </x:c>
      <x:c r="P798" s="26"/>
      <x:c r="Q798" s="13" t="str"/>
      <x:c r="R798" s="13" t="str"/>
      <x:c r="S798" s="13" t="str"/>
      <x:c r="T798" s="13" t="str"/>
    </x:row>
    <x:row r="799">
      <x:c r="A799" s="13" t="str">
        <x:v>Gabriel Bontempo</x:v>
      </x:c>
      <x:c r="B799" s="13" t="n">
        <x:v>2030</x:v>
      </x:c>
      <x:c r="C799" s="13" t="str">
        <x:v>T2</x:v>
      </x:c>
      <x:c r="D799" s="24" t="n">
        <x:v>47664</x:v>
      </x:c>
      <x:c r="E799" s="13" t="str">
        <x:v>Mezzala direito</x:v>
      </x:c>
      <x:c r="F799" s="13" t="str">
        <x:v>Santos FC</x:v>
      </x:c>
      <x:c r="G799" s="16"/>
      <x:c r="H799" s="16"/>
      <x:c r="I799" s="16"/>
      <x:c r="J799" s="16"/>
      <x:c r="K799" s="16" t="str">
        <x:f>IF(COUNT(G799,I799)=0,"",AVERAGE(G799,I799))</x:f>
      </x:c>
      <x:c r="L799" s="16" t="str">
        <x:f>IF(COUNT(H799,J799)=0,"",AVERAGE(H799,J799))</x:f>
      </x:c>
      <x:c r="M799" s="16" t="str">
        <x:f>IF(OR(K799="",L799=""),"",L799-K799)</x:f>
      </x:c>
      <x:c r="N799" s="16" t="str">
        <x:f>IF(AND(A799=A798,ISNUMBER(K799),ISNUMBER(K798)),K799-K798,"")</x:f>
      </x:c>
      <x:c r="O799" s="13" t="str">
        <x:v>Sem informação</x:v>
      </x:c>
      <x:c r="P799" s="26"/>
      <x:c r="Q799" s="13" t="str"/>
      <x:c r="R799" s="13" t="str"/>
      <x:c r="S799" s="13" t="str"/>
      <x:c r="T799" s="13" t="str"/>
    </x:row>
    <x:row r="800">
      <x:c r="A800" s="13" t="str">
        <x:v>Gabriel Bontempo</x:v>
      </x:c>
      <x:c r="B800" s="13" t="n">
        <x:v>2030</x:v>
      </x:c>
      <x:c r="C800" s="13" t="str">
        <x:v>T3</x:v>
      </x:c>
      <x:c r="D800" s="24" t="n">
        <x:v>47756</x:v>
      </x:c>
      <x:c r="E800" s="13" t="str">
        <x:v>Mezzala direito</x:v>
      </x:c>
      <x:c r="F800" s="13" t="str">
        <x:v>Santos FC</x:v>
      </x:c>
      <x:c r="G800" s="16"/>
      <x:c r="H800" s="16"/>
      <x:c r="I800" s="16"/>
      <x:c r="J800" s="16"/>
      <x:c r="K800" s="16" t="str">
        <x:f>IF(COUNT(G800,I800)=0,"",AVERAGE(G800,I800))</x:f>
      </x:c>
      <x:c r="L800" s="16" t="str">
        <x:f>IF(COUNT(H800,J800)=0,"",AVERAGE(H800,J800))</x:f>
      </x:c>
      <x:c r="M800" s="16" t="str">
        <x:f>IF(OR(K800="",L800=""),"",L800-K800)</x:f>
      </x:c>
      <x:c r="N800" s="16" t="str">
        <x:f>IF(AND(A800=A799,ISNUMBER(K800),ISNUMBER(K799)),K800-K799,"")</x:f>
      </x:c>
      <x:c r="O800" s="13" t="str">
        <x:v>Sem informação</x:v>
      </x:c>
      <x:c r="P800" s="26"/>
      <x:c r="Q800" s="13" t="str"/>
      <x:c r="R800" s="13" t="str"/>
      <x:c r="S800" s="13" t="str"/>
      <x:c r="T800" s="13" t="str"/>
    </x:row>
    <x:row r="801">
      <x:c r="A801" s="13" t="str">
        <x:v>Gabriel Bontempo</x:v>
      </x:c>
      <x:c r="B801" s="13" t="n">
        <x:v>2030</x:v>
      </x:c>
      <x:c r="C801" s="13" t="str">
        <x:v>T4</x:v>
      </x:c>
      <x:c r="D801" s="24" t="n">
        <x:v>47848</x:v>
      </x:c>
      <x:c r="E801" s="13" t="str">
        <x:v>Mezzala direito</x:v>
      </x:c>
      <x:c r="F801" s="13" t="str">
        <x:v>Santos FC</x:v>
      </x:c>
      <x:c r="G801" s="16"/>
      <x:c r="H801" s="16"/>
      <x:c r="I801" s="16"/>
      <x:c r="J801" s="16"/>
      <x:c r="K801" s="16" t="str">
        <x:f>IF(COUNT(G801,I801)=0,"",AVERAGE(G801,I801))</x:f>
      </x:c>
      <x:c r="L801" s="16" t="str">
        <x:f>IF(COUNT(H801,J801)=0,"",AVERAGE(H801,J801))</x:f>
      </x:c>
      <x:c r="M801" s="16" t="str">
        <x:f>IF(OR(K801="",L801=""),"",L801-K801)</x:f>
      </x:c>
      <x:c r="N801" s="16" t="str">
        <x:f>IF(AND(A801=A800,ISNUMBER(K801),ISNUMBER(K800)),K801-K800,"")</x:f>
      </x:c>
      <x:c r="O801" s="13" t="str">
        <x:v>Sem informação</x:v>
      </x:c>
      <x:c r="P801" s="26"/>
      <x:c r="Q801" s="13" t="str"/>
      <x:c r="R801" s="13" t="str"/>
      <x:c r="S801" s="13" t="str"/>
      <x:c r="T801" s="13" t="str"/>
    </x:row>
    <x:row r="802">
      <x:c r="A802" s="13" t="str">
        <x:v>Gabriel Moscardo</x:v>
      </x:c>
      <x:c r="B802" s="13" t="n">
        <x:v>2026</x:v>
      </x:c>
      <x:c r="C802" s="13" t="str">
        <x:v>T1</x:v>
      </x:c>
      <x:c r="D802" s="24" t="n">
        <x:v>46112</x:v>
      </x:c>
      <x:c r="E802" s="13" t="str">
        <x:v>Volante</x:v>
      </x:c>
      <x:c r="F802" s="13" t="str">
        <x:v>RCD Espanyol</x:v>
      </x:c>
      <x:c r="G802" s="16"/>
      <x:c r="H802" s="16"/>
      <x:c r="I802" s="16"/>
      <x:c r="J802" s="16"/>
      <x:c r="K802" s="16" t="str">
        <x:f>IF(COUNT(G802,I802)=0,"",AVERAGE(G802,I802))</x:f>
      </x:c>
      <x:c r="L802" s="16" t="str">
        <x:f>IF(COUNT(H802,J802)=0,"",AVERAGE(H802,J802))</x:f>
      </x:c>
      <x:c r="M802" s="16" t="str">
        <x:f>IF(OR(K802="",L802=""),"",L802-K802)</x:f>
      </x:c>
      <x:c r="N802" s="16" t="str">
        <x:f>""</x:f>
      </x:c>
      <x:c r="O802" s="13" t="str">
        <x:v>Sem informação</x:v>
      </x:c>
      <x:c r="P802" s="26"/>
      <x:c r="Q802" s="13" t="str"/>
      <x:c r="R802" s="13" t="str"/>
      <x:c r="S802" s="13" t="str"/>
      <x:c r="T802" s="13" t="str"/>
    </x:row>
    <x:row r="803">
      <x:c r="A803" s="13" t="str">
        <x:v>Gabriel Moscardo</x:v>
      </x:c>
      <x:c r="B803" s="13" t="n">
        <x:v>2026</x:v>
      </x:c>
      <x:c r="C803" s="13" t="str">
        <x:v>T2</x:v>
      </x:c>
      <x:c r="D803" s="24" t="n">
        <x:v>46203</x:v>
      </x:c>
      <x:c r="E803" s="13" t="str">
        <x:v>Volante</x:v>
      </x:c>
      <x:c r="F803" s="13" t="str">
        <x:v>RCD Espanyol</x:v>
      </x:c>
      <x:c r="G803" s="16"/>
      <x:c r="H803" s="16"/>
      <x:c r="I803" s="16"/>
      <x:c r="J803" s="16"/>
      <x:c r="K803" s="16" t="str">
        <x:f>IF(COUNT(G803,I803)=0,"",AVERAGE(G803,I803))</x:f>
      </x:c>
      <x:c r="L803" s="16" t="str">
        <x:f>IF(COUNT(H803,J803)=0,"",AVERAGE(H803,J803))</x:f>
      </x:c>
      <x:c r="M803" s="16" t="str">
        <x:f>IF(OR(K803="",L803=""),"",L803-K803)</x:f>
      </x:c>
      <x:c r="N803" s="16" t="str">
        <x:f>IF(AND(A803=A802,ISNUMBER(K803),ISNUMBER(K802)),K803-K802,"")</x:f>
      </x:c>
      <x:c r="O803" s="13" t="str">
        <x:v>Sem informação</x:v>
      </x:c>
      <x:c r="P803" s="26"/>
      <x:c r="Q803" s="13" t="str"/>
      <x:c r="R803" s="13" t="str"/>
      <x:c r="S803" s="13" t="str"/>
      <x:c r="T803" s="13" t="str"/>
    </x:row>
    <x:row r="804">
      <x:c r="A804" s="13" t="str">
        <x:v>Gabriel Moscardo</x:v>
      </x:c>
      <x:c r="B804" s="13" t="n">
        <x:v>2026</x:v>
      </x:c>
      <x:c r="C804" s="13" t="str">
        <x:v>T3</x:v>
      </x:c>
      <x:c r="D804" s="24" t="n">
        <x:v>46295</x:v>
      </x:c>
      <x:c r="E804" s="13" t="str">
        <x:v>Volante</x:v>
      </x:c>
      <x:c r="F804" s="13" t="str">
        <x:v>RCD Espanyol</x:v>
      </x:c>
      <x:c r="G804" s="16"/>
      <x:c r="H804" s="16"/>
      <x:c r="I804" s="16"/>
      <x:c r="J804" s="16"/>
      <x:c r="K804" s="16" t="str">
        <x:f>IF(COUNT(G804,I804)=0,"",AVERAGE(G804,I804))</x:f>
      </x:c>
      <x:c r="L804" s="16" t="str">
        <x:f>IF(COUNT(H804,J804)=0,"",AVERAGE(H804,J804))</x:f>
      </x:c>
      <x:c r="M804" s="16" t="str">
        <x:f>IF(OR(K804="",L804=""),"",L804-K804)</x:f>
      </x:c>
      <x:c r="N804" s="16" t="str">
        <x:f>IF(AND(A804=A803,ISNUMBER(K804),ISNUMBER(K803)),K804-K803,"")</x:f>
      </x:c>
      <x:c r="O804" s="13" t="str">
        <x:v>Sem informação</x:v>
      </x:c>
      <x:c r="P804" s="26"/>
      <x:c r="Q804" s="13" t="str"/>
      <x:c r="R804" s="13" t="str"/>
      <x:c r="S804" s="13" t="str"/>
      <x:c r="T804" s="13" t="str"/>
    </x:row>
    <x:row r="805">
      <x:c r="A805" s="13" t="str">
        <x:v>Gabriel Moscardo</x:v>
      </x:c>
      <x:c r="B805" s="13" t="n">
        <x:v>2026</x:v>
      </x:c>
      <x:c r="C805" s="13" t="str">
        <x:v>T4</x:v>
      </x:c>
      <x:c r="D805" s="24" t="n">
        <x:v>46387</x:v>
      </x:c>
      <x:c r="E805" s="13" t="str">
        <x:v>Volante</x:v>
      </x:c>
      <x:c r="F805" s="13" t="str">
        <x:v>RCD Espanyol</x:v>
      </x:c>
      <x:c r="G805" s="16"/>
      <x:c r="H805" s="16"/>
      <x:c r="I805" s="16"/>
      <x:c r="J805" s="16"/>
      <x:c r="K805" s="16" t="str">
        <x:f>IF(COUNT(G805,I805)=0,"",AVERAGE(G805,I805))</x:f>
      </x:c>
      <x:c r="L805" s="16" t="str">
        <x:f>IF(COUNT(H805,J805)=0,"",AVERAGE(H805,J805))</x:f>
      </x:c>
      <x:c r="M805" s="16" t="str">
        <x:f>IF(OR(K805="",L805=""),"",L805-K805)</x:f>
      </x:c>
      <x:c r="N805" s="16" t="str">
        <x:f>IF(AND(A805=A804,ISNUMBER(K805),ISNUMBER(K804)),K805-K804,"")</x:f>
      </x:c>
      <x:c r="O805" s="13" t="str">
        <x:v>Sem informação</x:v>
      </x:c>
      <x:c r="P805" s="26"/>
      <x:c r="Q805" s="13" t="str"/>
      <x:c r="R805" s="13" t="str"/>
      <x:c r="S805" s="13" t="str"/>
      <x:c r="T805" s="13" t="str"/>
    </x:row>
    <x:row r="806">
      <x:c r="A806" s="13" t="str">
        <x:v>Gabriel Moscardo</x:v>
      </x:c>
      <x:c r="B806" s="13" t="n">
        <x:v>2027</x:v>
      </x:c>
      <x:c r="C806" s="13" t="str">
        <x:v>T1</x:v>
      </x:c>
      <x:c r="D806" s="24" t="n">
        <x:v>46477</x:v>
      </x:c>
      <x:c r="E806" s="13" t="str">
        <x:v>Volante</x:v>
      </x:c>
      <x:c r="F806" s="13" t="str">
        <x:v>RCD Espanyol</x:v>
      </x:c>
      <x:c r="G806" s="16"/>
      <x:c r="H806" s="16"/>
      <x:c r="I806" s="16"/>
      <x:c r="J806" s="16"/>
      <x:c r="K806" s="16" t="str">
        <x:f>IF(COUNT(G806,I806)=0,"",AVERAGE(G806,I806))</x:f>
      </x:c>
      <x:c r="L806" s="16" t="str">
        <x:f>IF(COUNT(H806,J806)=0,"",AVERAGE(H806,J806))</x:f>
      </x:c>
      <x:c r="M806" s="16" t="str">
        <x:f>IF(OR(K806="",L806=""),"",L806-K806)</x:f>
      </x:c>
      <x:c r="N806" s="16" t="str">
        <x:f>IF(AND(A806=A805,ISNUMBER(K806),ISNUMBER(K805)),K806-K805,"")</x:f>
      </x:c>
      <x:c r="O806" s="13" t="str">
        <x:v>Sem informação</x:v>
      </x:c>
      <x:c r="P806" s="26"/>
      <x:c r="Q806" s="13" t="str"/>
      <x:c r="R806" s="13" t="str"/>
      <x:c r="S806" s="13" t="str"/>
      <x:c r="T806" s="13" t="str"/>
    </x:row>
    <x:row r="807">
      <x:c r="A807" s="13" t="str">
        <x:v>Gabriel Moscardo</x:v>
      </x:c>
      <x:c r="B807" s="13" t="n">
        <x:v>2027</x:v>
      </x:c>
      <x:c r="C807" s="13" t="str">
        <x:v>T2</x:v>
      </x:c>
      <x:c r="D807" s="24" t="n">
        <x:v>46568</x:v>
      </x:c>
      <x:c r="E807" s="13" t="str">
        <x:v>Volante</x:v>
      </x:c>
      <x:c r="F807" s="13" t="str">
        <x:v>RCD Espanyol</x:v>
      </x:c>
      <x:c r="G807" s="16"/>
      <x:c r="H807" s="16"/>
      <x:c r="I807" s="16"/>
      <x:c r="J807" s="16"/>
      <x:c r="K807" s="16" t="str">
        <x:f>IF(COUNT(G807,I807)=0,"",AVERAGE(G807,I807))</x:f>
      </x:c>
      <x:c r="L807" s="16" t="str">
        <x:f>IF(COUNT(H807,J807)=0,"",AVERAGE(H807,J807))</x:f>
      </x:c>
      <x:c r="M807" s="16" t="str">
        <x:f>IF(OR(K807="",L807=""),"",L807-K807)</x:f>
      </x:c>
      <x:c r="N807" s="16" t="str">
        <x:f>IF(AND(A807=A806,ISNUMBER(K807),ISNUMBER(K806)),K807-K806,"")</x:f>
      </x:c>
      <x:c r="O807" s="13" t="str">
        <x:v>Sem informação</x:v>
      </x:c>
      <x:c r="P807" s="26"/>
      <x:c r="Q807" s="13" t="str"/>
      <x:c r="R807" s="13" t="str"/>
      <x:c r="S807" s="13" t="str"/>
      <x:c r="T807" s="13" t="str"/>
    </x:row>
    <x:row r="808">
      <x:c r="A808" s="13" t="str">
        <x:v>Gabriel Moscardo</x:v>
      </x:c>
      <x:c r="B808" s="13" t="n">
        <x:v>2027</x:v>
      </x:c>
      <x:c r="C808" s="13" t="str">
        <x:v>T3</x:v>
      </x:c>
      <x:c r="D808" s="24" t="n">
        <x:v>46660</x:v>
      </x:c>
      <x:c r="E808" s="13" t="str">
        <x:v>Volante</x:v>
      </x:c>
      <x:c r="F808" s="13" t="str">
        <x:v>RCD Espanyol</x:v>
      </x:c>
      <x:c r="G808" s="16"/>
      <x:c r="H808" s="16"/>
      <x:c r="I808" s="16"/>
      <x:c r="J808" s="16"/>
      <x:c r="K808" s="16" t="str">
        <x:f>IF(COUNT(G808,I808)=0,"",AVERAGE(G808,I808))</x:f>
      </x:c>
      <x:c r="L808" s="16" t="str">
        <x:f>IF(COUNT(H808,J808)=0,"",AVERAGE(H808,J808))</x:f>
      </x:c>
      <x:c r="M808" s="16" t="str">
        <x:f>IF(OR(K808="",L808=""),"",L808-K808)</x:f>
      </x:c>
      <x:c r="N808" s="16" t="str">
        <x:f>IF(AND(A808=A807,ISNUMBER(K808),ISNUMBER(K807)),K808-K807,"")</x:f>
      </x:c>
      <x:c r="O808" s="13" t="str">
        <x:v>Sem informação</x:v>
      </x:c>
      <x:c r="P808" s="26"/>
      <x:c r="Q808" s="13" t="str"/>
      <x:c r="R808" s="13" t="str"/>
      <x:c r="S808" s="13" t="str"/>
      <x:c r="T808" s="13" t="str"/>
    </x:row>
    <x:row r="809">
      <x:c r="A809" s="13" t="str">
        <x:v>Gabriel Moscardo</x:v>
      </x:c>
      <x:c r="B809" s="13" t="n">
        <x:v>2027</x:v>
      </x:c>
      <x:c r="C809" s="13" t="str">
        <x:v>T4</x:v>
      </x:c>
      <x:c r="D809" s="24" t="n">
        <x:v>46752</x:v>
      </x:c>
      <x:c r="E809" s="13" t="str">
        <x:v>Volante</x:v>
      </x:c>
      <x:c r="F809" s="13" t="str">
        <x:v>RCD Espanyol</x:v>
      </x:c>
      <x:c r="G809" s="16"/>
      <x:c r="H809" s="16"/>
      <x:c r="I809" s="16"/>
      <x:c r="J809" s="16"/>
      <x:c r="K809" s="16" t="str">
        <x:f>IF(COUNT(G809,I809)=0,"",AVERAGE(G809,I809))</x:f>
      </x:c>
      <x:c r="L809" s="16" t="str">
        <x:f>IF(COUNT(H809,J809)=0,"",AVERAGE(H809,J809))</x:f>
      </x:c>
      <x:c r="M809" s="16" t="str">
        <x:f>IF(OR(K809="",L809=""),"",L809-K809)</x:f>
      </x:c>
      <x:c r="N809" s="16" t="str">
        <x:f>IF(AND(A809=A808,ISNUMBER(K809),ISNUMBER(K808)),K809-K808,"")</x:f>
      </x:c>
      <x:c r="O809" s="13" t="str">
        <x:v>Sem informação</x:v>
      </x:c>
      <x:c r="P809" s="26"/>
      <x:c r="Q809" s="13" t="str"/>
      <x:c r="R809" s="13" t="str"/>
      <x:c r="S809" s="13" t="str"/>
      <x:c r="T809" s="13" t="str"/>
    </x:row>
    <x:row r="810">
      <x:c r="A810" s="13" t="str">
        <x:v>Gabriel Moscardo</x:v>
      </x:c>
      <x:c r="B810" s="13" t="n">
        <x:v>2028</x:v>
      </x:c>
      <x:c r="C810" s="13" t="str">
        <x:v>T1</x:v>
      </x:c>
      <x:c r="D810" s="24" t="n">
        <x:v>46843</x:v>
      </x:c>
      <x:c r="E810" s="13" t="str">
        <x:v>Volante</x:v>
      </x:c>
      <x:c r="F810" s="13" t="str">
        <x:v>RCD Espanyol</x:v>
      </x:c>
      <x:c r="G810" s="16"/>
      <x:c r="H810" s="16"/>
      <x:c r="I810" s="16"/>
      <x:c r="J810" s="16"/>
      <x:c r="K810" s="16" t="str">
        <x:f>IF(COUNT(G810,I810)=0,"",AVERAGE(G810,I810))</x:f>
      </x:c>
      <x:c r="L810" s="16" t="str">
        <x:f>IF(COUNT(H810,J810)=0,"",AVERAGE(H810,J810))</x:f>
      </x:c>
      <x:c r="M810" s="16" t="str">
        <x:f>IF(OR(K810="",L810=""),"",L810-K810)</x:f>
      </x:c>
      <x:c r="N810" s="16" t="str">
        <x:f>IF(AND(A810=A809,ISNUMBER(K810),ISNUMBER(K809)),K810-K809,"")</x:f>
      </x:c>
      <x:c r="O810" s="13" t="str">
        <x:v>Sem informação</x:v>
      </x:c>
      <x:c r="P810" s="26"/>
      <x:c r="Q810" s="13" t="str"/>
      <x:c r="R810" s="13" t="str"/>
      <x:c r="S810" s="13" t="str"/>
      <x:c r="T810" s="13" t="str"/>
    </x:row>
    <x:row r="811">
      <x:c r="A811" s="13" t="str">
        <x:v>Gabriel Moscardo</x:v>
      </x:c>
      <x:c r="B811" s="13" t="n">
        <x:v>2028</x:v>
      </x:c>
      <x:c r="C811" s="13" t="str">
        <x:v>T2</x:v>
      </x:c>
      <x:c r="D811" s="24" t="n">
        <x:v>46934</x:v>
      </x:c>
      <x:c r="E811" s="13" t="str">
        <x:v>Volante</x:v>
      </x:c>
      <x:c r="F811" s="13" t="str">
        <x:v>RCD Espanyol</x:v>
      </x:c>
      <x:c r="G811" s="16"/>
      <x:c r="H811" s="16"/>
      <x:c r="I811" s="16"/>
      <x:c r="J811" s="16"/>
      <x:c r="K811" s="16" t="str">
        <x:f>IF(COUNT(G811,I811)=0,"",AVERAGE(G811,I811))</x:f>
      </x:c>
      <x:c r="L811" s="16" t="str">
        <x:f>IF(COUNT(H811,J811)=0,"",AVERAGE(H811,J811))</x:f>
      </x:c>
      <x:c r="M811" s="16" t="str">
        <x:f>IF(OR(K811="",L811=""),"",L811-K811)</x:f>
      </x:c>
      <x:c r="N811" s="16" t="str">
        <x:f>IF(AND(A811=A810,ISNUMBER(K811),ISNUMBER(K810)),K811-K810,"")</x:f>
      </x:c>
      <x:c r="O811" s="13" t="str">
        <x:v>Sem informação</x:v>
      </x:c>
      <x:c r="P811" s="26"/>
      <x:c r="Q811" s="13" t="str"/>
      <x:c r="R811" s="13" t="str"/>
      <x:c r="S811" s="13" t="str"/>
      <x:c r="T811" s="13" t="str"/>
    </x:row>
    <x:row r="812">
      <x:c r="A812" s="13" t="str">
        <x:v>Gabriel Moscardo</x:v>
      </x:c>
      <x:c r="B812" s="13" t="n">
        <x:v>2028</x:v>
      </x:c>
      <x:c r="C812" s="13" t="str">
        <x:v>T3</x:v>
      </x:c>
      <x:c r="D812" s="24" t="n">
        <x:v>47026</x:v>
      </x:c>
      <x:c r="E812" s="13" t="str">
        <x:v>Volante</x:v>
      </x:c>
      <x:c r="F812" s="13" t="str">
        <x:v>RCD Espanyol</x:v>
      </x:c>
      <x:c r="G812" s="16"/>
      <x:c r="H812" s="16"/>
      <x:c r="I812" s="16"/>
      <x:c r="J812" s="16"/>
      <x:c r="K812" s="16" t="str">
        <x:f>IF(COUNT(G812,I812)=0,"",AVERAGE(G812,I812))</x:f>
      </x:c>
      <x:c r="L812" s="16" t="str">
        <x:f>IF(COUNT(H812,J812)=0,"",AVERAGE(H812,J812))</x:f>
      </x:c>
      <x:c r="M812" s="16" t="str">
        <x:f>IF(OR(K812="",L812=""),"",L812-K812)</x:f>
      </x:c>
      <x:c r="N812" s="16" t="str">
        <x:f>IF(AND(A812=A811,ISNUMBER(K812),ISNUMBER(K811)),K812-K811,"")</x:f>
      </x:c>
      <x:c r="O812" s="13" t="str">
        <x:v>Sem informação</x:v>
      </x:c>
      <x:c r="P812" s="26"/>
      <x:c r="Q812" s="13" t="str"/>
      <x:c r="R812" s="13" t="str"/>
      <x:c r="S812" s="13" t="str"/>
      <x:c r="T812" s="13" t="str"/>
    </x:row>
    <x:row r="813">
      <x:c r="A813" s="13" t="str">
        <x:v>Gabriel Moscardo</x:v>
      </x:c>
      <x:c r="B813" s="13" t="n">
        <x:v>2028</x:v>
      </x:c>
      <x:c r="C813" s="13" t="str">
        <x:v>T4</x:v>
      </x:c>
      <x:c r="D813" s="24" t="n">
        <x:v>47118</x:v>
      </x:c>
      <x:c r="E813" s="13" t="str">
        <x:v>Volante</x:v>
      </x:c>
      <x:c r="F813" s="13" t="str">
        <x:v>RCD Espanyol</x:v>
      </x:c>
      <x:c r="G813" s="16"/>
      <x:c r="H813" s="16"/>
      <x:c r="I813" s="16"/>
      <x:c r="J813" s="16"/>
      <x:c r="K813" s="16" t="str">
        <x:f>IF(COUNT(G813,I813)=0,"",AVERAGE(G813,I813))</x:f>
      </x:c>
      <x:c r="L813" s="16" t="str">
        <x:f>IF(COUNT(H813,J813)=0,"",AVERAGE(H813,J813))</x:f>
      </x:c>
      <x:c r="M813" s="16" t="str">
        <x:f>IF(OR(K813="",L813=""),"",L813-K813)</x:f>
      </x:c>
      <x:c r="N813" s="16" t="str">
        <x:f>IF(AND(A813=A812,ISNUMBER(K813),ISNUMBER(K812)),K813-K812,"")</x:f>
      </x:c>
      <x:c r="O813" s="13" t="str">
        <x:v>Sem informação</x:v>
      </x:c>
      <x:c r="P813" s="26"/>
      <x:c r="Q813" s="13" t="str"/>
      <x:c r="R813" s="13" t="str"/>
      <x:c r="S813" s="13" t="str"/>
      <x:c r="T813" s="13" t="str"/>
    </x:row>
    <x:row r="814">
      <x:c r="A814" s="13" t="str">
        <x:v>Gabriel Moscardo</x:v>
      </x:c>
      <x:c r="B814" s="13" t="n">
        <x:v>2029</x:v>
      </x:c>
      <x:c r="C814" s="13" t="str">
        <x:v>T1</x:v>
      </x:c>
      <x:c r="D814" s="24" t="n">
        <x:v>47208</x:v>
      </x:c>
      <x:c r="E814" s="13" t="str">
        <x:v>Volante</x:v>
      </x:c>
      <x:c r="F814" s="13" t="str">
        <x:v>RCD Espanyol</x:v>
      </x:c>
      <x:c r="G814" s="16"/>
      <x:c r="H814" s="16"/>
      <x:c r="I814" s="16"/>
      <x:c r="J814" s="16"/>
      <x:c r="K814" s="16" t="str">
        <x:f>IF(COUNT(G814,I814)=0,"",AVERAGE(G814,I814))</x:f>
      </x:c>
      <x:c r="L814" s="16" t="str">
        <x:f>IF(COUNT(H814,J814)=0,"",AVERAGE(H814,J814))</x:f>
      </x:c>
      <x:c r="M814" s="16" t="str">
        <x:f>IF(OR(K814="",L814=""),"",L814-K814)</x:f>
      </x:c>
      <x:c r="N814" s="16" t="str">
        <x:f>IF(AND(A814=A813,ISNUMBER(K814),ISNUMBER(K813)),K814-K813,"")</x:f>
      </x:c>
      <x:c r="O814" s="13" t="str">
        <x:v>Sem informação</x:v>
      </x:c>
      <x:c r="P814" s="26"/>
      <x:c r="Q814" s="13" t="str"/>
      <x:c r="R814" s="13" t="str"/>
      <x:c r="S814" s="13" t="str"/>
      <x:c r="T814" s="13" t="str"/>
    </x:row>
    <x:row r="815">
      <x:c r="A815" s="13" t="str">
        <x:v>Gabriel Moscardo</x:v>
      </x:c>
      <x:c r="B815" s="13" t="n">
        <x:v>2029</x:v>
      </x:c>
      <x:c r="C815" s="13" t="str">
        <x:v>T2</x:v>
      </x:c>
      <x:c r="D815" s="24" t="n">
        <x:v>47299</x:v>
      </x:c>
      <x:c r="E815" s="13" t="str">
        <x:v>Volante</x:v>
      </x:c>
      <x:c r="F815" s="13" t="str">
        <x:v>RCD Espanyol</x:v>
      </x:c>
      <x:c r="G815" s="16"/>
      <x:c r="H815" s="16"/>
      <x:c r="I815" s="16"/>
      <x:c r="J815" s="16"/>
      <x:c r="K815" s="16" t="str">
        <x:f>IF(COUNT(G815,I815)=0,"",AVERAGE(G815,I815))</x:f>
      </x:c>
      <x:c r="L815" s="16" t="str">
        <x:f>IF(COUNT(H815,J815)=0,"",AVERAGE(H815,J815))</x:f>
      </x:c>
      <x:c r="M815" s="16" t="str">
        <x:f>IF(OR(K815="",L815=""),"",L815-K815)</x:f>
      </x:c>
      <x:c r="N815" s="16" t="str">
        <x:f>IF(AND(A815=A814,ISNUMBER(K815),ISNUMBER(K814)),K815-K814,"")</x:f>
      </x:c>
      <x:c r="O815" s="13" t="str">
        <x:v>Sem informação</x:v>
      </x:c>
      <x:c r="P815" s="26"/>
      <x:c r="Q815" s="13" t="str"/>
      <x:c r="R815" s="13" t="str"/>
      <x:c r="S815" s="13" t="str"/>
      <x:c r="T815" s="13" t="str"/>
    </x:row>
    <x:row r="816">
      <x:c r="A816" s="13" t="str">
        <x:v>Gabriel Moscardo</x:v>
      </x:c>
      <x:c r="B816" s="13" t="n">
        <x:v>2029</x:v>
      </x:c>
      <x:c r="C816" s="13" t="str">
        <x:v>T3</x:v>
      </x:c>
      <x:c r="D816" s="24" t="n">
        <x:v>47391</x:v>
      </x:c>
      <x:c r="E816" s="13" t="str">
        <x:v>Volante</x:v>
      </x:c>
      <x:c r="F816" s="13" t="str">
        <x:v>RCD Espanyol</x:v>
      </x:c>
      <x:c r="G816" s="16"/>
      <x:c r="H816" s="16"/>
      <x:c r="I816" s="16"/>
      <x:c r="J816" s="16"/>
      <x:c r="K816" s="16" t="str">
        <x:f>IF(COUNT(G816,I816)=0,"",AVERAGE(G816,I816))</x:f>
      </x:c>
      <x:c r="L816" s="16" t="str">
        <x:f>IF(COUNT(H816,J816)=0,"",AVERAGE(H816,J816))</x:f>
      </x:c>
      <x:c r="M816" s="16" t="str">
        <x:f>IF(OR(K816="",L816=""),"",L816-K816)</x:f>
      </x:c>
      <x:c r="N816" s="16" t="str">
        <x:f>IF(AND(A816=A815,ISNUMBER(K816),ISNUMBER(K815)),K816-K815,"")</x:f>
      </x:c>
      <x:c r="O816" s="13" t="str">
        <x:v>Sem informação</x:v>
      </x:c>
      <x:c r="P816" s="26"/>
      <x:c r="Q816" s="13" t="str"/>
      <x:c r="R816" s="13" t="str"/>
      <x:c r="S816" s="13" t="str"/>
      <x:c r="T816" s="13" t="str"/>
    </x:row>
    <x:row r="817">
      <x:c r="A817" s="13" t="str">
        <x:v>Gabriel Moscardo</x:v>
      </x:c>
      <x:c r="B817" s="13" t="n">
        <x:v>2029</x:v>
      </x:c>
      <x:c r="C817" s="13" t="str">
        <x:v>T4</x:v>
      </x:c>
      <x:c r="D817" s="24" t="n">
        <x:v>47483</x:v>
      </x:c>
      <x:c r="E817" s="13" t="str">
        <x:v>Volante</x:v>
      </x:c>
      <x:c r="F817" s="13" t="str">
        <x:v>RCD Espanyol</x:v>
      </x:c>
      <x:c r="G817" s="16"/>
      <x:c r="H817" s="16"/>
      <x:c r="I817" s="16"/>
      <x:c r="J817" s="16"/>
      <x:c r="K817" s="16" t="str">
        <x:f>IF(COUNT(G817,I817)=0,"",AVERAGE(G817,I817))</x:f>
      </x:c>
      <x:c r="L817" s="16" t="str">
        <x:f>IF(COUNT(H817,J817)=0,"",AVERAGE(H817,J817))</x:f>
      </x:c>
      <x:c r="M817" s="16" t="str">
        <x:f>IF(OR(K817="",L817=""),"",L817-K817)</x:f>
      </x:c>
      <x:c r="N817" s="16" t="str">
        <x:f>IF(AND(A817=A816,ISNUMBER(K817),ISNUMBER(K816)),K817-K816,"")</x:f>
      </x:c>
      <x:c r="O817" s="13" t="str">
        <x:v>Sem informação</x:v>
      </x:c>
      <x:c r="P817" s="26"/>
      <x:c r="Q817" s="13" t="str"/>
      <x:c r="R817" s="13" t="str"/>
      <x:c r="S817" s="13" t="str"/>
      <x:c r="T817" s="13" t="str"/>
    </x:row>
    <x:row r="818">
      <x:c r="A818" s="13" t="str">
        <x:v>Gabriel Moscardo</x:v>
      </x:c>
      <x:c r="B818" s="13" t="n">
        <x:v>2030</x:v>
      </x:c>
      <x:c r="C818" s="13" t="str">
        <x:v>T1</x:v>
      </x:c>
      <x:c r="D818" s="24" t="n">
        <x:v>47573</x:v>
      </x:c>
      <x:c r="E818" s="13" t="str">
        <x:v>Volante</x:v>
      </x:c>
      <x:c r="F818" s="13" t="str">
        <x:v>RCD Espanyol</x:v>
      </x:c>
      <x:c r="G818" s="16"/>
      <x:c r="H818" s="16"/>
      <x:c r="I818" s="16"/>
      <x:c r="J818" s="16"/>
      <x:c r="K818" s="16" t="str">
        <x:f>IF(COUNT(G818,I818)=0,"",AVERAGE(G818,I818))</x:f>
      </x:c>
      <x:c r="L818" s="16" t="str">
        <x:f>IF(COUNT(H818,J818)=0,"",AVERAGE(H818,J818))</x:f>
      </x:c>
      <x:c r="M818" s="16" t="str">
        <x:f>IF(OR(K818="",L818=""),"",L818-K818)</x:f>
      </x:c>
      <x:c r="N818" s="16" t="str">
        <x:f>IF(AND(A818=A817,ISNUMBER(K818),ISNUMBER(K817)),K818-K817,"")</x:f>
      </x:c>
      <x:c r="O818" s="13" t="str">
        <x:v>Sem informação</x:v>
      </x:c>
      <x:c r="P818" s="26"/>
      <x:c r="Q818" s="13" t="str"/>
      <x:c r="R818" s="13" t="str"/>
      <x:c r="S818" s="13" t="str"/>
      <x:c r="T818" s="13" t="str"/>
    </x:row>
    <x:row r="819">
      <x:c r="A819" s="13" t="str">
        <x:v>Gabriel Moscardo</x:v>
      </x:c>
      <x:c r="B819" s="13" t="n">
        <x:v>2030</x:v>
      </x:c>
      <x:c r="C819" s="13" t="str">
        <x:v>T2</x:v>
      </x:c>
      <x:c r="D819" s="24" t="n">
        <x:v>47664</x:v>
      </x:c>
      <x:c r="E819" s="13" t="str">
        <x:v>Volante</x:v>
      </x:c>
      <x:c r="F819" s="13" t="str">
        <x:v>RCD Espanyol</x:v>
      </x:c>
      <x:c r="G819" s="16"/>
      <x:c r="H819" s="16"/>
      <x:c r="I819" s="16"/>
      <x:c r="J819" s="16"/>
      <x:c r="K819" s="16" t="str">
        <x:f>IF(COUNT(G819,I819)=0,"",AVERAGE(G819,I819))</x:f>
      </x:c>
      <x:c r="L819" s="16" t="str">
        <x:f>IF(COUNT(H819,J819)=0,"",AVERAGE(H819,J819))</x:f>
      </x:c>
      <x:c r="M819" s="16" t="str">
        <x:f>IF(OR(K819="",L819=""),"",L819-K819)</x:f>
      </x:c>
      <x:c r="N819" s="16" t="str">
        <x:f>IF(AND(A819=A818,ISNUMBER(K819),ISNUMBER(K818)),K819-K818,"")</x:f>
      </x:c>
      <x:c r="O819" s="13" t="str">
        <x:v>Sem informação</x:v>
      </x:c>
      <x:c r="P819" s="26"/>
      <x:c r="Q819" s="13" t="str"/>
      <x:c r="R819" s="13" t="str"/>
      <x:c r="S819" s="13" t="str"/>
      <x:c r="T819" s="13" t="str"/>
    </x:row>
    <x:row r="820">
      <x:c r="A820" s="13" t="str">
        <x:v>Gabriel Moscardo</x:v>
      </x:c>
      <x:c r="B820" s="13" t="n">
        <x:v>2030</x:v>
      </x:c>
      <x:c r="C820" s="13" t="str">
        <x:v>T3</x:v>
      </x:c>
      <x:c r="D820" s="24" t="n">
        <x:v>47756</x:v>
      </x:c>
      <x:c r="E820" s="13" t="str">
        <x:v>Volante</x:v>
      </x:c>
      <x:c r="F820" s="13" t="str">
        <x:v>RCD Espanyol</x:v>
      </x:c>
      <x:c r="G820" s="16"/>
      <x:c r="H820" s="16"/>
      <x:c r="I820" s="16"/>
      <x:c r="J820" s="16"/>
      <x:c r="K820" s="16" t="str">
        <x:f>IF(COUNT(G820,I820)=0,"",AVERAGE(G820,I820))</x:f>
      </x:c>
      <x:c r="L820" s="16" t="str">
        <x:f>IF(COUNT(H820,J820)=0,"",AVERAGE(H820,J820))</x:f>
      </x:c>
      <x:c r="M820" s="16" t="str">
        <x:f>IF(OR(K820="",L820=""),"",L820-K820)</x:f>
      </x:c>
      <x:c r="N820" s="16" t="str">
        <x:f>IF(AND(A820=A819,ISNUMBER(K820),ISNUMBER(K819)),K820-K819,"")</x:f>
      </x:c>
      <x:c r="O820" s="13" t="str">
        <x:v>Sem informação</x:v>
      </x:c>
      <x:c r="P820" s="26"/>
      <x:c r="Q820" s="13" t="str"/>
      <x:c r="R820" s="13" t="str"/>
      <x:c r="S820" s="13" t="str"/>
      <x:c r="T820" s="13" t="str"/>
    </x:row>
    <x:row r="821">
      <x:c r="A821" s="13" t="str">
        <x:v>Gabriel Moscardo</x:v>
      </x:c>
      <x:c r="B821" s="13" t="n">
        <x:v>2030</x:v>
      </x:c>
      <x:c r="C821" s="13" t="str">
        <x:v>T4</x:v>
      </x:c>
      <x:c r="D821" s="24" t="n">
        <x:v>47848</x:v>
      </x:c>
      <x:c r="E821" s="13" t="str">
        <x:v>Volante</x:v>
      </x:c>
      <x:c r="F821" s="13" t="str">
        <x:v>RCD Espanyol</x:v>
      </x:c>
      <x:c r="G821" s="16"/>
      <x:c r="H821" s="16"/>
      <x:c r="I821" s="16"/>
      <x:c r="J821" s="16"/>
      <x:c r="K821" s="16" t="str">
        <x:f>IF(COUNT(G821,I821)=0,"",AVERAGE(G821,I821))</x:f>
      </x:c>
      <x:c r="L821" s="16" t="str">
        <x:f>IF(COUNT(H821,J821)=0,"",AVERAGE(H821,J821))</x:f>
      </x:c>
      <x:c r="M821" s="16" t="str">
        <x:f>IF(OR(K821="",L821=""),"",L821-K821)</x:f>
      </x:c>
      <x:c r="N821" s="16" t="str">
        <x:f>IF(AND(A821=A820,ISNUMBER(K821),ISNUMBER(K820)),K821-K820,"")</x:f>
      </x:c>
      <x:c r="O821" s="13" t="str">
        <x:v>Sem informação</x:v>
      </x:c>
      <x:c r="P821" s="26"/>
      <x:c r="Q821" s="13" t="str"/>
      <x:c r="R821" s="13" t="str"/>
      <x:c r="S821" s="13" t="str"/>
      <x:c r="T821" s="13" t="str"/>
    </x:row>
    <x:row r="822">
      <x:c r="A822" s="13" t="str">
        <x:v>Igor Paixão</x:v>
      </x:c>
      <x:c r="B822" s="13" t="n">
        <x:v>2026</x:v>
      </x:c>
      <x:c r="C822" s="13" t="str">
        <x:v>T1</x:v>
      </x:c>
      <x:c r="D822" s="24" t="n">
        <x:v>46112</x:v>
      </x:c>
      <x:c r="E822" s="13" t="str">
        <x:v>Ponta-esquerda</x:v>
      </x:c>
      <x:c r="F822" s="13" t="str">
        <x:v>Olympique Marseille</x:v>
      </x:c>
      <x:c r="G822" s="16"/>
      <x:c r="H822" s="16"/>
      <x:c r="I822" s="16"/>
      <x:c r="J822" s="16"/>
      <x:c r="K822" s="16" t="str">
        <x:f>IF(COUNT(G822,I822)=0,"",AVERAGE(G822,I822))</x:f>
      </x:c>
      <x:c r="L822" s="16" t="str">
        <x:f>IF(COUNT(H822,J822)=0,"",AVERAGE(H822,J822))</x:f>
      </x:c>
      <x:c r="M822" s="16" t="str">
        <x:f>IF(OR(K822="",L822=""),"",L822-K822)</x:f>
      </x:c>
      <x:c r="N822" s="16" t="str">
        <x:f>""</x:f>
      </x:c>
      <x:c r="O822" s="13" t="str">
        <x:v>Sem informação</x:v>
      </x:c>
      <x:c r="P822" s="26"/>
      <x:c r="Q822" s="13" t="str"/>
      <x:c r="R822" s="13" t="str"/>
      <x:c r="S822" s="13" t="str"/>
      <x:c r="T822" s="13" t="str"/>
    </x:row>
    <x:row r="823">
      <x:c r="A823" s="13" t="str">
        <x:v>Igor Paixão</x:v>
      </x:c>
      <x:c r="B823" s="13" t="n">
        <x:v>2026</x:v>
      </x:c>
      <x:c r="C823" s="13" t="str">
        <x:v>T2</x:v>
      </x:c>
      <x:c r="D823" s="24" t="n">
        <x:v>46203</x:v>
      </x:c>
      <x:c r="E823" s="13" t="str">
        <x:v>Ponta-esquerda</x:v>
      </x:c>
      <x:c r="F823" s="13" t="str">
        <x:v>Olympique Marseille</x:v>
      </x:c>
      <x:c r="G823" s="16"/>
      <x:c r="H823" s="16"/>
      <x:c r="I823" s="16"/>
      <x:c r="J823" s="16"/>
      <x:c r="K823" s="16" t="str">
        <x:f>IF(COUNT(G823,I823)=0,"",AVERAGE(G823,I823))</x:f>
      </x:c>
      <x:c r="L823" s="16" t="str">
        <x:f>IF(COUNT(H823,J823)=0,"",AVERAGE(H823,J823))</x:f>
      </x:c>
      <x:c r="M823" s="16" t="str">
        <x:f>IF(OR(K823="",L823=""),"",L823-K823)</x:f>
      </x:c>
      <x:c r="N823" s="16" t="str">
        <x:f>IF(AND(A823=A822,ISNUMBER(K823),ISNUMBER(K822)),K823-K822,"")</x:f>
      </x:c>
      <x:c r="O823" s="13" t="str">
        <x:v>Sem informação</x:v>
      </x:c>
      <x:c r="P823" s="26"/>
      <x:c r="Q823" s="13" t="str"/>
      <x:c r="R823" s="13" t="str"/>
      <x:c r="S823" s="13" t="str"/>
      <x:c r="T823" s="13" t="str"/>
    </x:row>
    <x:row r="824">
      <x:c r="A824" s="13" t="str">
        <x:v>Igor Paixão</x:v>
      </x:c>
      <x:c r="B824" s="13" t="n">
        <x:v>2026</x:v>
      </x:c>
      <x:c r="C824" s="13" t="str">
        <x:v>T3</x:v>
      </x:c>
      <x:c r="D824" s="24" t="n">
        <x:v>46295</x:v>
      </x:c>
      <x:c r="E824" s="13" t="str">
        <x:v>Ponta-esquerda</x:v>
      </x:c>
      <x:c r="F824" s="13" t="str">
        <x:v>Olympique Marseille</x:v>
      </x:c>
      <x:c r="G824" s="16"/>
      <x:c r="H824" s="16"/>
      <x:c r="I824" s="16"/>
      <x:c r="J824" s="16"/>
      <x:c r="K824" s="16" t="str">
        <x:f>IF(COUNT(G824,I824)=0,"",AVERAGE(G824,I824))</x:f>
      </x:c>
      <x:c r="L824" s="16" t="str">
        <x:f>IF(COUNT(H824,J824)=0,"",AVERAGE(H824,J824))</x:f>
      </x:c>
      <x:c r="M824" s="16" t="str">
        <x:f>IF(OR(K824="",L824=""),"",L824-K824)</x:f>
      </x:c>
      <x:c r="N824" s="16" t="str">
        <x:f>IF(AND(A824=A823,ISNUMBER(K824),ISNUMBER(K823)),K824-K823,"")</x:f>
      </x:c>
      <x:c r="O824" s="13" t="str">
        <x:v>Sem informação</x:v>
      </x:c>
      <x:c r="P824" s="26"/>
      <x:c r="Q824" s="13" t="str"/>
      <x:c r="R824" s="13" t="str"/>
      <x:c r="S824" s="13" t="str"/>
      <x:c r="T824" s="13" t="str"/>
    </x:row>
    <x:row r="825">
      <x:c r="A825" s="13" t="str">
        <x:v>Igor Paixão</x:v>
      </x:c>
      <x:c r="B825" s="13" t="n">
        <x:v>2026</x:v>
      </x:c>
      <x:c r="C825" s="13" t="str">
        <x:v>T4</x:v>
      </x:c>
      <x:c r="D825" s="24" t="n">
        <x:v>46387</x:v>
      </x:c>
      <x:c r="E825" s="13" t="str">
        <x:v>Ponta-esquerda</x:v>
      </x:c>
      <x:c r="F825" s="13" t="str">
        <x:v>Olympique Marseille</x:v>
      </x:c>
      <x:c r="G825" s="16"/>
      <x:c r="H825" s="16"/>
      <x:c r="I825" s="16"/>
      <x:c r="J825" s="16"/>
      <x:c r="K825" s="16" t="str">
        <x:f>IF(COUNT(G825,I825)=0,"",AVERAGE(G825,I825))</x:f>
      </x:c>
      <x:c r="L825" s="16" t="str">
        <x:f>IF(COUNT(H825,J825)=0,"",AVERAGE(H825,J825))</x:f>
      </x:c>
      <x:c r="M825" s="16" t="str">
        <x:f>IF(OR(K825="",L825=""),"",L825-K825)</x:f>
      </x:c>
      <x:c r="N825" s="16" t="str">
        <x:f>IF(AND(A825=A824,ISNUMBER(K825),ISNUMBER(K824)),K825-K824,"")</x:f>
      </x:c>
      <x:c r="O825" s="13" t="str">
        <x:v>Sem informação</x:v>
      </x:c>
      <x:c r="P825" s="26"/>
      <x:c r="Q825" s="13" t="str"/>
      <x:c r="R825" s="13" t="str"/>
      <x:c r="S825" s="13" t="str"/>
      <x:c r="T825" s="13" t="str"/>
    </x:row>
    <x:row r="826">
      <x:c r="A826" s="13" t="str">
        <x:v>Igor Paixão</x:v>
      </x:c>
      <x:c r="B826" s="13" t="n">
        <x:v>2027</x:v>
      </x:c>
      <x:c r="C826" s="13" t="str">
        <x:v>T1</x:v>
      </x:c>
      <x:c r="D826" s="24" t="n">
        <x:v>46477</x:v>
      </x:c>
      <x:c r="E826" s="13" t="str">
        <x:v>Ponta-esquerda</x:v>
      </x:c>
      <x:c r="F826" s="13" t="str">
        <x:v>Olympique Marseille</x:v>
      </x:c>
      <x:c r="G826" s="16"/>
      <x:c r="H826" s="16"/>
      <x:c r="I826" s="16"/>
      <x:c r="J826" s="16"/>
      <x:c r="K826" s="16" t="str">
        <x:f>IF(COUNT(G826,I826)=0,"",AVERAGE(G826,I826))</x:f>
      </x:c>
      <x:c r="L826" s="16" t="str">
        <x:f>IF(COUNT(H826,J826)=0,"",AVERAGE(H826,J826))</x:f>
      </x:c>
      <x:c r="M826" s="16" t="str">
        <x:f>IF(OR(K826="",L826=""),"",L826-K826)</x:f>
      </x:c>
      <x:c r="N826" s="16" t="str">
        <x:f>IF(AND(A826=A825,ISNUMBER(K826),ISNUMBER(K825)),K826-K825,"")</x:f>
      </x:c>
      <x:c r="O826" s="13" t="str">
        <x:v>Sem informação</x:v>
      </x:c>
      <x:c r="P826" s="26"/>
      <x:c r="Q826" s="13" t="str"/>
      <x:c r="R826" s="13" t="str"/>
      <x:c r="S826" s="13" t="str"/>
      <x:c r="T826" s="13" t="str"/>
    </x:row>
    <x:row r="827">
      <x:c r="A827" s="13" t="str">
        <x:v>Igor Paixão</x:v>
      </x:c>
      <x:c r="B827" s="13" t="n">
        <x:v>2027</x:v>
      </x:c>
      <x:c r="C827" s="13" t="str">
        <x:v>T2</x:v>
      </x:c>
      <x:c r="D827" s="24" t="n">
        <x:v>46568</x:v>
      </x:c>
      <x:c r="E827" s="13" t="str">
        <x:v>Ponta-esquerda</x:v>
      </x:c>
      <x:c r="F827" s="13" t="str">
        <x:v>Olympique Marseille</x:v>
      </x:c>
      <x:c r="G827" s="16"/>
      <x:c r="H827" s="16"/>
      <x:c r="I827" s="16"/>
      <x:c r="J827" s="16"/>
      <x:c r="K827" s="16" t="str">
        <x:f>IF(COUNT(G827,I827)=0,"",AVERAGE(G827,I827))</x:f>
      </x:c>
      <x:c r="L827" s="16" t="str">
        <x:f>IF(COUNT(H827,J827)=0,"",AVERAGE(H827,J827))</x:f>
      </x:c>
      <x:c r="M827" s="16" t="str">
        <x:f>IF(OR(K827="",L827=""),"",L827-K827)</x:f>
      </x:c>
      <x:c r="N827" s="16" t="str">
        <x:f>IF(AND(A827=A826,ISNUMBER(K827),ISNUMBER(K826)),K827-K826,"")</x:f>
      </x:c>
      <x:c r="O827" s="13" t="str">
        <x:v>Sem informação</x:v>
      </x:c>
      <x:c r="P827" s="26"/>
      <x:c r="Q827" s="13" t="str"/>
      <x:c r="R827" s="13" t="str"/>
      <x:c r="S827" s="13" t="str"/>
      <x:c r="T827" s="13" t="str"/>
    </x:row>
    <x:row r="828">
      <x:c r="A828" s="13" t="str">
        <x:v>Igor Paixão</x:v>
      </x:c>
      <x:c r="B828" s="13" t="n">
        <x:v>2027</x:v>
      </x:c>
      <x:c r="C828" s="13" t="str">
        <x:v>T3</x:v>
      </x:c>
      <x:c r="D828" s="24" t="n">
        <x:v>46660</x:v>
      </x:c>
      <x:c r="E828" s="13" t="str">
        <x:v>Ponta-esquerda</x:v>
      </x:c>
      <x:c r="F828" s="13" t="str">
        <x:v>Olympique Marseille</x:v>
      </x:c>
      <x:c r="G828" s="16"/>
      <x:c r="H828" s="16"/>
      <x:c r="I828" s="16"/>
      <x:c r="J828" s="16"/>
      <x:c r="K828" s="16" t="str">
        <x:f>IF(COUNT(G828,I828)=0,"",AVERAGE(G828,I828))</x:f>
      </x:c>
      <x:c r="L828" s="16" t="str">
        <x:f>IF(COUNT(H828,J828)=0,"",AVERAGE(H828,J828))</x:f>
      </x:c>
      <x:c r="M828" s="16" t="str">
        <x:f>IF(OR(K828="",L828=""),"",L828-K828)</x:f>
      </x:c>
      <x:c r="N828" s="16" t="str">
        <x:f>IF(AND(A828=A827,ISNUMBER(K828),ISNUMBER(K827)),K828-K827,"")</x:f>
      </x:c>
      <x:c r="O828" s="13" t="str">
        <x:v>Sem informação</x:v>
      </x:c>
      <x:c r="P828" s="26"/>
      <x:c r="Q828" s="13" t="str"/>
      <x:c r="R828" s="13" t="str"/>
      <x:c r="S828" s="13" t="str"/>
      <x:c r="T828" s="13" t="str"/>
    </x:row>
    <x:row r="829">
      <x:c r="A829" s="13" t="str">
        <x:v>Igor Paixão</x:v>
      </x:c>
      <x:c r="B829" s="13" t="n">
        <x:v>2027</x:v>
      </x:c>
      <x:c r="C829" s="13" t="str">
        <x:v>T4</x:v>
      </x:c>
      <x:c r="D829" s="24" t="n">
        <x:v>46752</x:v>
      </x:c>
      <x:c r="E829" s="13" t="str">
        <x:v>Ponta-esquerda</x:v>
      </x:c>
      <x:c r="F829" s="13" t="str">
        <x:v>Olympique Marseille</x:v>
      </x:c>
      <x:c r="G829" s="16"/>
      <x:c r="H829" s="16"/>
      <x:c r="I829" s="16"/>
      <x:c r="J829" s="16"/>
      <x:c r="K829" s="16" t="str">
        <x:f>IF(COUNT(G829,I829)=0,"",AVERAGE(G829,I829))</x:f>
      </x:c>
      <x:c r="L829" s="16" t="str">
        <x:f>IF(COUNT(H829,J829)=0,"",AVERAGE(H829,J829))</x:f>
      </x:c>
      <x:c r="M829" s="16" t="str">
        <x:f>IF(OR(K829="",L829=""),"",L829-K829)</x:f>
      </x:c>
      <x:c r="N829" s="16" t="str">
        <x:f>IF(AND(A829=A828,ISNUMBER(K829),ISNUMBER(K828)),K829-K828,"")</x:f>
      </x:c>
      <x:c r="O829" s="13" t="str">
        <x:v>Sem informação</x:v>
      </x:c>
      <x:c r="P829" s="26"/>
      <x:c r="Q829" s="13" t="str"/>
      <x:c r="R829" s="13" t="str"/>
      <x:c r="S829" s="13" t="str"/>
      <x:c r="T829" s="13" t="str"/>
    </x:row>
    <x:row r="830">
      <x:c r="A830" s="13" t="str">
        <x:v>Igor Paixão</x:v>
      </x:c>
      <x:c r="B830" s="13" t="n">
        <x:v>2028</x:v>
      </x:c>
      <x:c r="C830" s="13" t="str">
        <x:v>T1</x:v>
      </x:c>
      <x:c r="D830" s="24" t="n">
        <x:v>46843</x:v>
      </x:c>
      <x:c r="E830" s="13" t="str">
        <x:v>Ponta-esquerda</x:v>
      </x:c>
      <x:c r="F830" s="13" t="str">
        <x:v>Olympique Marseille</x:v>
      </x:c>
      <x:c r="G830" s="16"/>
      <x:c r="H830" s="16"/>
      <x:c r="I830" s="16"/>
      <x:c r="J830" s="16"/>
      <x:c r="K830" s="16" t="str">
        <x:f>IF(COUNT(G830,I830)=0,"",AVERAGE(G830,I830))</x:f>
      </x:c>
      <x:c r="L830" s="16" t="str">
        <x:f>IF(COUNT(H830,J830)=0,"",AVERAGE(H830,J830))</x:f>
      </x:c>
      <x:c r="M830" s="16" t="str">
        <x:f>IF(OR(K830="",L830=""),"",L830-K830)</x:f>
      </x:c>
      <x:c r="N830" s="16" t="str">
        <x:f>IF(AND(A830=A829,ISNUMBER(K830),ISNUMBER(K829)),K830-K829,"")</x:f>
      </x:c>
      <x:c r="O830" s="13" t="str">
        <x:v>Sem informação</x:v>
      </x:c>
      <x:c r="P830" s="26"/>
      <x:c r="Q830" s="13" t="str"/>
      <x:c r="R830" s="13" t="str"/>
      <x:c r="S830" s="13" t="str"/>
      <x:c r="T830" s="13" t="str"/>
    </x:row>
    <x:row r="831">
      <x:c r="A831" s="13" t="str">
        <x:v>Igor Paixão</x:v>
      </x:c>
      <x:c r="B831" s="13" t="n">
        <x:v>2028</x:v>
      </x:c>
      <x:c r="C831" s="13" t="str">
        <x:v>T2</x:v>
      </x:c>
      <x:c r="D831" s="24" t="n">
        <x:v>46934</x:v>
      </x:c>
      <x:c r="E831" s="13" t="str">
        <x:v>Ponta-esquerda</x:v>
      </x:c>
      <x:c r="F831" s="13" t="str">
        <x:v>Olympique Marseille</x:v>
      </x:c>
      <x:c r="G831" s="16"/>
      <x:c r="H831" s="16"/>
      <x:c r="I831" s="16"/>
      <x:c r="J831" s="16"/>
      <x:c r="K831" s="16" t="str">
        <x:f>IF(COUNT(G831,I831)=0,"",AVERAGE(G831,I831))</x:f>
      </x:c>
      <x:c r="L831" s="16" t="str">
        <x:f>IF(COUNT(H831,J831)=0,"",AVERAGE(H831,J831))</x:f>
      </x:c>
      <x:c r="M831" s="16" t="str">
        <x:f>IF(OR(K831="",L831=""),"",L831-K831)</x:f>
      </x:c>
      <x:c r="N831" s="16" t="str">
        <x:f>IF(AND(A831=A830,ISNUMBER(K831),ISNUMBER(K830)),K831-K830,"")</x:f>
      </x:c>
      <x:c r="O831" s="13" t="str">
        <x:v>Sem informação</x:v>
      </x:c>
      <x:c r="P831" s="26"/>
      <x:c r="Q831" s="13" t="str"/>
      <x:c r="R831" s="13" t="str"/>
      <x:c r="S831" s="13" t="str"/>
      <x:c r="T831" s="13" t="str"/>
    </x:row>
    <x:row r="832">
      <x:c r="A832" s="13" t="str">
        <x:v>Igor Paixão</x:v>
      </x:c>
      <x:c r="B832" s="13" t="n">
        <x:v>2028</x:v>
      </x:c>
      <x:c r="C832" s="13" t="str">
        <x:v>T3</x:v>
      </x:c>
      <x:c r="D832" s="24" t="n">
        <x:v>47026</x:v>
      </x:c>
      <x:c r="E832" s="13" t="str">
        <x:v>Ponta-esquerda</x:v>
      </x:c>
      <x:c r="F832" s="13" t="str">
        <x:v>Olympique Marseille</x:v>
      </x:c>
      <x:c r="G832" s="16"/>
      <x:c r="H832" s="16"/>
      <x:c r="I832" s="16"/>
      <x:c r="J832" s="16"/>
      <x:c r="K832" s="16" t="str">
        <x:f>IF(COUNT(G832,I832)=0,"",AVERAGE(G832,I832))</x:f>
      </x:c>
      <x:c r="L832" s="16" t="str">
        <x:f>IF(COUNT(H832,J832)=0,"",AVERAGE(H832,J832))</x:f>
      </x:c>
      <x:c r="M832" s="16" t="str">
        <x:f>IF(OR(K832="",L832=""),"",L832-K832)</x:f>
      </x:c>
      <x:c r="N832" s="16" t="str">
        <x:f>IF(AND(A832=A831,ISNUMBER(K832),ISNUMBER(K831)),K832-K831,"")</x:f>
      </x:c>
      <x:c r="O832" s="13" t="str">
        <x:v>Sem informação</x:v>
      </x:c>
      <x:c r="P832" s="26"/>
      <x:c r="Q832" s="13" t="str"/>
      <x:c r="R832" s="13" t="str"/>
      <x:c r="S832" s="13" t="str"/>
      <x:c r="T832" s="13" t="str"/>
    </x:row>
    <x:row r="833">
      <x:c r="A833" s="13" t="str">
        <x:v>Igor Paixão</x:v>
      </x:c>
      <x:c r="B833" s="13" t="n">
        <x:v>2028</x:v>
      </x:c>
      <x:c r="C833" s="13" t="str">
        <x:v>T4</x:v>
      </x:c>
      <x:c r="D833" s="24" t="n">
        <x:v>47118</x:v>
      </x:c>
      <x:c r="E833" s="13" t="str">
        <x:v>Ponta-esquerda</x:v>
      </x:c>
      <x:c r="F833" s="13" t="str">
        <x:v>Olympique Marseille</x:v>
      </x:c>
      <x:c r="G833" s="16"/>
      <x:c r="H833" s="16"/>
      <x:c r="I833" s="16"/>
      <x:c r="J833" s="16"/>
      <x:c r="K833" s="16" t="str">
        <x:f>IF(COUNT(G833,I833)=0,"",AVERAGE(G833,I833))</x:f>
      </x:c>
      <x:c r="L833" s="16" t="str">
        <x:f>IF(COUNT(H833,J833)=0,"",AVERAGE(H833,J833))</x:f>
      </x:c>
      <x:c r="M833" s="16" t="str">
        <x:f>IF(OR(K833="",L833=""),"",L833-K833)</x:f>
      </x:c>
      <x:c r="N833" s="16" t="str">
        <x:f>IF(AND(A833=A832,ISNUMBER(K833),ISNUMBER(K832)),K833-K832,"")</x:f>
      </x:c>
      <x:c r="O833" s="13" t="str">
        <x:v>Sem informação</x:v>
      </x:c>
      <x:c r="P833" s="26"/>
      <x:c r="Q833" s="13" t="str"/>
      <x:c r="R833" s="13" t="str"/>
      <x:c r="S833" s="13" t="str"/>
      <x:c r="T833" s="13" t="str"/>
    </x:row>
    <x:row r="834">
      <x:c r="A834" s="13" t="str">
        <x:v>Igor Paixão</x:v>
      </x:c>
      <x:c r="B834" s="13" t="n">
        <x:v>2029</x:v>
      </x:c>
      <x:c r="C834" s="13" t="str">
        <x:v>T1</x:v>
      </x:c>
      <x:c r="D834" s="24" t="n">
        <x:v>47208</x:v>
      </x:c>
      <x:c r="E834" s="13" t="str">
        <x:v>Ponta-esquerda</x:v>
      </x:c>
      <x:c r="F834" s="13" t="str">
        <x:v>Olympique Marseille</x:v>
      </x:c>
      <x:c r="G834" s="16"/>
      <x:c r="H834" s="16"/>
      <x:c r="I834" s="16"/>
      <x:c r="J834" s="16"/>
      <x:c r="K834" s="16" t="str">
        <x:f>IF(COUNT(G834,I834)=0,"",AVERAGE(G834,I834))</x:f>
      </x:c>
      <x:c r="L834" s="16" t="str">
        <x:f>IF(COUNT(H834,J834)=0,"",AVERAGE(H834,J834))</x:f>
      </x:c>
      <x:c r="M834" s="16" t="str">
        <x:f>IF(OR(K834="",L834=""),"",L834-K834)</x:f>
      </x:c>
      <x:c r="N834" s="16" t="str">
        <x:f>IF(AND(A834=A833,ISNUMBER(K834),ISNUMBER(K833)),K834-K833,"")</x:f>
      </x:c>
      <x:c r="O834" s="13" t="str">
        <x:v>Sem informação</x:v>
      </x:c>
      <x:c r="P834" s="26"/>
      <x:c r="Q834" s="13" t="str"/>
      <x:c r="R834" s="13" t="str"/>
      <x:c r="S834" s="13" t="str"/>
      <x:c r="T834" s="13" t="str"/>
    </x:row>
    <x:row r="835">
      <x:c r="A835" s="13" t="str">
        <x:v>Igor Paixão</x:v>
      </x:c>
      <x:c r="B835" s="13" t="n">
        <x:v>2029</x:v>
      </x:c>
      <x:c r="C835" s="13" t="str">
        <x:v>T2</x:v>
      </x:c>
      <x:c r="D835" s="24" t="n">
        <x:v>47299</x:v>
      </x:c>
      <x:c r="E835" s="13" t="str">
        <x:v>Ponta-esquerda</x:v>
      </x:c>
      <x:c r="F835" s="13" t="str">
        <x:v>Olympique Marseille</x:v>
      </x:c>
      <x:c r="G835" s="16"/>
      <x:c r="H835" s="16"/>
      <x:c r="I835" s="16"/>
      <x:c r="J835" s="16"/>
      <x:c r="K835" s="16" t="str">
        <x:f>IF(COUNT(G835,I835)=0,"",AVERAGE(G835,I835))</x:f>
      </x:c>
      <x:c r="L835" s="16" t="str">
        <x:f>IF(COUNT(H835,J835)=0,"",AVERAGE(H835,J835))</x:f>
      </x:c>
      <x:c r="M835" s="16" t="str">
        <x:f>IF(OR(K835="",L835=""),"",L835-K835)</x:f>
      </x:c>
      <x:c r="N835" s="16" t="str">
        <x:f>IF(AND(A835=A834,ISNUMBER(K835),ISNUMBER(K834)),K835-K834,"")</x:f>
      </x:c>
      <x:c r="O835" s="13" t="str">
        <x:v>Sem informação</x:v>
      </x:c>
      <x:c r="P835" s="26"/>
      <x:c r="Q835" s="13" t="str"/>
      <x:c r="R835" s="13" t="str"/>
      <x:c r="S835" s="13" t="str"/>
      <x:c r="T835" s="13" t="str"/>
    </x:row>
    <x:row r="836">
      <x:c r="A836" s="13" t="str">
        <x:v>Igor Paixão</x:v>
      </x:c>
      <x:c r="B836" s="13" t="n">
        <x:v>2029</x:v>
      </x:c>
      <x:c r="C836" s="13" t="str">
        <x:v>T3</x:v>
      </x:c>
      <x:c r="D836" s="24" t="n">
        <x:v>47391</x:v>
      </x:c>
      <x:c r="E836" s="13" t="str">
        <x:v>Ponta-esquerda</x:v>
      </x:c>
      <x:c r="F836" s="13" t="str">
        <x:v>Olympique Marseille</x:v>
      </x:c>
      <x:c r="G836" s="16"/>
      <x:c r="H836" s="16"/>
      <x:c r="I836" s="16"/>
      <x:c r="J836" s="16"/>
      <x:c r="K836" s="16" t="str">
        <x:f>IF(COUNT(G836,I836)=0,"",AVERAGE(G836,I836))</x:f>
      </x:c>
      <x:c r="L836" s="16" t="str">
        <x:f>IF(COUNT(H836,J836)=0,"",AVERAGE(H836,J836))</x:f>
      </x:c>
      <x:c r="M836" s="16" t="str">
        <x:f>IF(OR(K836="",L836=""),"",L836-K836)</x:f>
      </x:c>
      <x:c r="N836" s="16" t="str">
        <x:f>IF(AND(A836=A835,ISNUMBER(K836),ISNUMBER(K835)),K836-K835,"")</x:f>
      </x:c>
      <x:c r="O836" s="13" t="str">
        <x:v>Sem informação</x:v>
      </x:c>
      <x:c r="P836" s="26"/>
      <x:c r="Q836" s="13" t="str"/>
      <x:c r="R836" s="13" t="str"/>
      <x:c r="S836" s="13" t="str"/>
      <x:c r="T836" s="13" t="str"/>
    </x:row>
    <x:row r="837">
      <x:c r="A837" s="13" t="str">
        <x:v>Igor Paixão</x:v>
      </x:c>
      <x:c r="B837" s="13" t="n">
        <x:v>2029</x:v>
      </x:c>
      <x:c r="C837" s="13" t="str">
        <x:v>T4</x:v>
      </x:c>
      <x:c r="D837" s="24" t="n">
        <x:v>47483</x:v>
      </x:c>
      <x:c r="E837" s="13" t="str">
        <x:v>Ponta-esquerda</x:v>
      </x:c>
      <x:c r="F837" s="13" t="str">
        <x:v>Olympique Marseille</x:v>
      </x:c>
      <x:c r="G837" s="16"/>
      <x:c r="H837" s="16"/>
      <x:c r="I837" s="16"/>
      <x:c r="J837" s="16"/>
      <x:c r="K837" s="16" t="str">
        <x:f>IF(COUNT(G837,I837)=0,"",AVERAGE(G837,I837))</x:f>
      </x:c>
      <x:c r="L837" s="16" t="str">
        <x:f>IF(COUNT(H837,J837)=0,"",AVERAGE(H837,J837))</x:f>
      </x:c>
      <x:c r="M837" s="16" t="str">
        <x:f>IF(OR(K837="",L837=""),"",L837-K837)</x:f>
      </x:c>
      <x:c r="N837" s="16" t="str">
        <x:f>IF(AND(A837=A836,ISNUMBER(K837),ISNUMBER(K836)),K837-K836,"")</x:f>
      </x:c>
      <x:c r="O837" s="13" t="str">
        <x:v>Sem informação</x:v>
      </x:c>
      <x:c r="P837" s="26"/>
      <x:c r="Q837" s="13" t="str"/>
      <x:c r="R837" s="13" t="str"/>
      <x:c r="S837" s="13" t="str"/>
      <x:c r="T837" s="13" t="str"/>
    </x:row>
    <x:row r="838">
      <x:c r="A838" s="13" t="str">
        <x:v>Igor Paixão</x:v>
      </x:c>
      <x:c r="B838" s="13" t="n">
        <x:v>2030</x:v>
      </x:c>
      <x:c r="C838" s="13" t="str">
        <x:v>T1</x:v>
      </x:c>
      <x:c r="D838" s="24" t="n">
        <x:v>47573</x:v>
      </x:c>
      <x:c r="E838" s="13" t="str">
        <x:v>Ponta-esquerda</x:v>
      </x:c>
      <x:c r="F838" s="13" t="str">
        <x:v>Olympique Marseille</x:v>
      </x:c>
      <x:c r="G838" s="16"/>
      <x:c r="H838" s="16"/>
      <x:c r="I838" s="16"/>
      <x:c r="J838" s="16"/>
      <x:c r="K838" s="16" t="str">
        <x:f>IF(COUNT(G838,I838)=0,"",AVERAGE(G838,I838))</x:f>
      </x:c>
      <x:c r="L838" s="16" t="str">
        <x:f>IF(COUNT(H838,J838)=0,"",AVERAGE(H838,J838))</x:f>
      </x:c>
      <x:c r="M838" s="16" t="str">
        <x:f>IF(OR(K838="",L838=""),"",L838-K838)</x:f>
      </x:c>
      <x:c r="N838" s="16" t="str">
        <x:f>IF(AND(A838=A837,ISNUMBER(K838),ISNUMBER(K837)),K838-K837,"")</x:f>
      </x:c>
      <x:c r="O838" s="13" t="str">
        <x:v>Sem informação</x:v>
      </x:c>
      <x:c r="P838" s="26"/>
      <x:c r="Q838" s="13" t="str"/>
      <x:c r="R838" s="13" t="str"/>
      <x:c r="S838" s="13" t="str"/>
      <x:c r="T838" s="13" t="str"/>
    </x:row>
    <x:row r="839">
      <x:c r="A839" s="13" t="str">
        <x:v>Igor Paixão</x:v>
      </x:c>
      <x:c r="B839" s="13" t="n">
        <x:v>2030</x:v>
      </x:c>
      <x:c r="C839" s="13" t="str">
        <x:v>T2</x:v>
      </x:c>
      <x:c r="D839" s="24" t="n">
        <x:v>47664</x:v>
      </x:c>
      <x:c r="E839" s="13" t="str">
        <x:v>Ponta-esquerda</x:v>
      </x:c>
      <x:c r="F839" s="13" t="str">
        <x:v>Olympique Marseille</x:v>
      </x:c>
      <x:c r="G839" s="16"/>
      <x:c r="H839" s="16"/>
      <x:c r="I839" s="16"/>
      <x:c r="J839" s="16"/>
      <x:c r="K839" s="16" t="str">
        <x:f>IF(COUNT(G839,I839)=0,"",AVERAGE(G839,I839))</x:f>
      </x:c>
      <x:c r="L839" s="16" t="str">
        <x:f>IF(COUNT(H839,J839)=0,"",AVERAGE(H839,J839))</x:f>
      </x:c>
      <x:c r="M839" s="16" t="str">
        <x:f>IF(OR(K839="",L839=""),"",L839-K839)</x:f>
      </x:c>
      <x:c r="N839" s="16" t="str">
        <x:f>IF(AND(A839=A838,ISNUMBER(K839),ISNUMBER(K838)),K839-K838,"")</x:f>
      </x:c>
      <x:c r="O839" s="13" t="str">
        <x:v>Sem informação</x:v>
      </x:c>
      <x:c r="P839" s="26"/>
      <x:c r="Q839" s="13" t="str"/>
      <x:c r="R839" s="13" t="str"/>
      <x:c r="S839" s="13" t="str"/>
      <x:c r="T839" s="13" t="str"/>
    </x:row>
    <x:row r="840">
      <x:c r="A840" s="13" t="str">
        <x:v>Igor Paixão</x:v>
      </x:c>
      <x:c r="B840" s="13" t="n">
        <x:v>2030</x:v>
      </x:c>
      <x:c r="C840" s="13" t="str">
        <x:v>T3</x:v>
      </x:c>
      <x:c r="D840" s="24" t="n">
        <x:v>47756</x:v>
      </x:c>
      <x:c r="E840" s="13" t="str">
        <x:v>Ponta-esquerda</x:v>
      </x:c>
      <x:c r="F840" s="13" t="str">
        <x:v>Olympique Marseille</x:v>
      </x:c>
      <x:c r="G840" s="16"/>
      <x:c r="H840" s="16"/>
      <x:c r="I840" s="16"/>
      <x:c r="J840" s="16"/>
      <x:c r="K840" s="16" t="str">
        <x:f>IF(COUNT(G840,I840)=0,"",AVERAGE(G840,I840))</x:f>
      </x:c>
      <x:c r="L840" s="16" t="str">
        <x:f>IF(COUNT(H840,J840)=0,"",AVERAGE(H840,J840))</x:f>
      </x:c>
      <x:c r="M840" s="16" t="str">
        <x:f>IF(OR(K840="",L840=""),"",L840-K840)</x:f>
      </x:c>
      <x:c r="N840" s="16" t="str">
        <x:f>IF(AND(A840=A839,ISNUMBER(K840),ISNUMBER(K839)),K840-K839,"")</x:f>
      </x:c>
      <x:c r="O840" s="13" t="str">
        <x:v>Sem informação</x:v>
      </x:c>
      <x:c r="P840" s="26"/>
      <x:c r="Q840" s="13" t="str"/>
      <x:c r="R840" s="13" t="str"/>
      <x:c r="S840" s="13" t="str"/>
      <x:c r="T840" s="13" t="str"/>
    </x:row>
    <x:row r="841">
      <x:c r="A841" s="13" t="str">
        <x:v>Igor Paixão</x:v>
      </x:c>
      <x:c r="B841" s="13" t="n">
        <x:v>2030</x:v>
      </x:c>
      <x:c r="C841" s="13" t="str">
        <x:v>T4</x:v>
      </x:c>
      <x:c r="D841" s="24" t="n">
        <x:v>47848</x:v>
      </x:c>
      <x:c r="E841" s="13" t="str">
        <x:v>Ponta-esquerda</x:v>
      </x:c>
      <x:c r="F841" s="13" t="str">
        <x:v>Olympique Marseille</x:v>
      </x:c>
      <x:c r="G841" s="16"/>
      <x:c r="H841" s="16"/>
      <x:c r="I841" s="16"/>
      <x:c r="J841" s="16"/>
      <x:c r="K841" s="16" t="str">
        <x:f>IF(COUNT(G841,I841)=0,"",AVERAGE(G841,I841))</x:f>
      </x:c>
      <x:c r="L841" s="16" t="str">
        <x:f>IF(COUNT(H841,J841)=0,"",AVERAGE(H841,J841))</x:f>
      </x:c>
      <x:c r="M841" s="16" t="str">
        <x:f>IF(OR(K841="",L841=""),"",L841-K841)</x:f>
      </x:c>
      <x:c r="N841" s="16" t="str">
        <x:f>IF(AND(A841=A840,ISNUMBER(K841),ISNUMBER(K840)),K841-K840,"")</x:f>
      </x:c>
      <x:c r="O841" s="13" t="str">
        <x:v>Sem informação</x:v>
      </x:c>
      <x:c r="P841" s="26"/>
      <x:c r="Q841" s="13" t="str"/>
      <x:c r="R841" s="13" t="str"/>
      <x:c r="S841" s="13" t="str"/>
      <x:c r="T841" s="13" t="str"/>
    </x:row>
    <x:row r="842">
      <x:c r="A842" s="13" t="str">
        <x:v>Jair</x:v>
      </x:c>
      <x:c r="B842" s="13" t="n">
        <x:v>2026</x:v>
      </x:c>
      <x:c r="C842" s="13" t="str">
        <x:v>T1</x:v>
      </x:c>
      <x:c r="D842" s="24" t="n">
        <x:v>46112</x:v>
      </x:c>
      <x:c r="E842" s="13" t="str">
        <x:v>Zagueiro</x:v>
      </x:c>
      <x:c r="F842" s="13" t="str">
        <x:v>Nottingham Forest</x:v>
      </x:c>
      <x:c r="G842" s="16"/>
      <x:c r="H842" s="16"/>
      <x:c r="I842" s="16"/>
      <x:c r="J842" s="16"/>
      <x:c r="K842" s="16" t="str">
        <x:f>IF(COUNT(G842,I842)=0,"",AVERAGE(G842,I842))</x:f>
      </x:c>
      <x:c r="L842" s="16" t="str">
        <x:f>IF(COUNT(H842,J842)=0,"",AVERAGE(H842,J842))</x:f>
      </x:c>
      <x:c r="M842" s="16" t="str">
        <x:f>IF(OR(K842="",L842=""),"",L842-K842)</x:f>
      </x:c>
      <x:c r="N842" s="16" t="str">
        <x:f>""</x:f>
      </x:c>
      <x:c r="O842" s="13" t="str">
        <x:v>Sem informação</x:v>
      </x:c>
      <x:c r="P842" s="26"/>
      <x:c r="Q842" s="13" t="str"/>
      <x:c r="R842" s="13" t="str"/>
      <x:c r="S842" s="13" t="str"/>
      <x:c r="T842" s="13" t="str"/>
    </x:row>
    <x:row r="843">
      <x:c r="A843" s="13" t="str">
        <x:v>Jair</x:v>
      </x:c>
      <x:c r="B843" s="13" t="n">
        <x:v>2026</x:v>
      </x:c>
      <x:c r="C843" s="13" t="str">
        <x:v>T2</x:v>
      </x:c>
      <x:c r="D843" s="24" t="n">
        <x:v>46203</x:v>
      </x:c>
      <x:c r="E843" s="13" t="str">
        <x:v>Zagueiro</x:v>
      </x:c>
      <x:c r="F843" s="13" t="str">
        <x:v>Nottingham Forest</x:v>
      </x:c>
      <x:c r="G843" s="16"/>
      <x:c r="H843" s="16"/>
      <x:c r="I843" s="16"/>
      <x:c r="J843" s="16"/>
      <x:c r="K843" s="16" t="str">
        <x:f>IF(COUNT(G843,I843)=0,"",AVERAGE(G843,I843))</x:f>
      </x:c>
      <x:c r="L843" s="16" t="str">
        <x:f>IF(COUNT(H843,J843)=0,"",AVERAGE(H843,J843))</x:f>
      </x:c>
      <x:c r="M843" s="16" t="str">
        <x:f>IF(OR(K843="",L843=""),"",L843-K843)</x:f>
      </x:c>
      <x:c r="N843" s="16" t="str">
        <x:f>IF(AND(A843=A842,ISNUMBER(K843),ISNUMBER(K842)),K843-K842,"")</x:f>
      </x:c>
      <x:c r="O843" s="13" t="str">
        <x:v>Sem informação</x:v>
      </x:c>
      <x:c r="P843" s="26"/>
      <x:c r="Q843" s="13" t="str"/>
      <x:c r="R843" s="13" t="str"/>
      <x:c r="S843" s="13" t="str"/>
      <x:c r="T843" s="13" t="str"/>
    </x:row>
    <x:row r="844">
      <x:c r="A844" s="13" t="str">
        <x:v>Jair</x:v>
      </x:c>
      <x:c r="B844" s="13" t="n">
        <x:v>2026</x:v>
      </x:c>
      <x:c r="C844" s="13" t="str">
        <x:v>T3</x:v>
      </x:c>
      <x:c r="D844" s="24" t="n">
        <x:v>46295</x:v>
      </x:c>
      <x:c r="E844" s="13" t="str">
        <x:v>Zagueiro</x:v>
      </x:c>
      <x:c r="F844" s="13" t="str">
        <x:v>Nottingham Forest</x:v>
      </x:c>
      <x:c r="G844" s="16"/>
      <x:c r="H844" s="16"/>
      <x:c r="I844" s="16"/>
      <x:c r="J844" s="16"/>
      <x:c r="K844" s="16" t="str">
        <x:f>IF(COUNT(G844,I844)=0,"",AVERAGE(G844,I844))</x:f>
      </x:c>
      <x:c r="L844" s="16" t="str">
        <x:f>IF(COUNT(H844,J844)=0,"",AVERAGE(H844,J844))</x:f>
      </x:c>
      <x:c r="M844" s="16" t="str">
        <x:f>IF(OR(K844="",L844=""),"",L844-K844)</x:f>
      </x:c>
      <x:c r="N844" s="16" t="str">
        <x:f>IF(AND(A844=A843,ISNUMBER(K844),ISNUMBER(K843)),K844-K843,"")</x:f>
      </x:c>
      <x:c r="O844" s="13" t="str">
        <x:v>Sem informação</x:v>
      </x:c>
      <x:c r="P844" s="26"/>
      <x:c r="Q844" s="13" t="str"/>
      <x:c r="R844" s="13" t="str"/>
      <x:c r="S844" s="13" t="str"/>
      <x:c r="T844" s="13" t="str"/>
    </x:row>
    <x:row r="845">
      <x:c r="A845" s="13" t="str">
        <x:v>Jair</x:v>
      </x:c>
      <x:c r="B845" s="13" t="n">
        <x:v>2026</x:v>
      </x:c>
      <x:c r="C845" s="13" t="str">
        <x:v>T4</x:v>
      </x:c>
      <x:c r="D845" s="24" t="n">
        <x:v>46387</x:v>
      </x:c>
      <x:c r="E845" s="13" t="str">
        <x:v>Zagueiro</x:v>
      </x:c>
      <x:c r="F845" s="13" t="str">
        <x:v>Nottingham Forest</x:v>
      </x:c>
      <x:c r="G845" s="16"/>
      <x:c r="H845" s="16"/>
      <x:c r="I845" s="16"/>
      <x:c r="J845" s="16"/>
      <x:c r="K845" s="16" t="str">
        <x:f>IF(COUNT(G845,I845)=0,"",AVERAGE(G845,I845))</x:f>
      </x:c>
      <x:c r="L845" s="16" t="str">
        <x:f>IF(COUNT(H845,J845)=0,"",AVERAGE(H845,J845))</x:f>
      </x:c>
      <x:c r="M845" s="16" t="str">
        <x:f>IF(OR(K845="",L845=""),"",L845-K845)</x:f>
      </x:c>
      <x:c r="N845" s="16" t="str">
        <x:f>IF(AND(A845=A844,ISNUMBER(K845),ISNUMBER(K844)),K845-K844,"")</x:f>
      </x:c>
      <x:c r="O845" s="13" t="str">
        <x:v>Sem informação</x:v>
      </x:c>
      <x:c r="P845" s="26"/>
      <x:c r="Q845" s="13" t="str"/>
      <x:c r="R845" s="13" t="str"/>
      <x:c r="S845" s="13" t="str"/>
      <x:c r="T845" s="13" t="str"/>
    </x:row>
    <x:row r="846">
      <x:c r="A846" s="13" t="str">
        <x:v>Jair</x:v>
      </x:c>
      <x:c r="B846" s="13" t="n">
        <x:v>2027</x:v>
      </x:c>
      <x:c r="C846" s="13" t="str">
        <x:v>T1</x:v>
      </x:c>
      <x:c r="D846" s="24" t="n">
        <x:v>46477</x:v>
      </x:c>
      <x:c r="E846" s="13" t="str">
        <x:v>Zagueiro</x:v>
      </x:c>
      <x:c r="F846" s="13" t="str">
        <x:v>Nottingham Forest</x:v>
      </x:c>
      <x:c r="G846" s="16"/>
      <x:c r="H846" s="16"/>
      <x:c r="I846" s="16"/>
      <x:c r="J846" s="16"/>
      <x:c r="K846" s="16" t="str">
        <x:f>IF(COUNT(G846,I846)=0,"",AVERAGE(G846,I846))</x:f>
      </x:c>
      <x:c r="L846" s="16" t="str">
        <x:f>IF(COUNT(H846,J846)=0,"",AVERAGE(H846,J846))</x:f>
      </x:c>
      <x:c r="M846" s="16" t="str">
        <x:f>IF(OR(K846="",L846=""),"",L846-K846)</x:f>
      </x:c>
      <x:c r="N846" s="16" t="str">
        <x:f>IF(AND(A846=A845,ISNUMBER(K846),ISNUMBER(K845)),K846-K845,"")</x:f>
      </x:c>
      <x:c r="O846" s="13" t="str">
        <x:v>Sem informação</x:v>
      </x:c>
      <x:c r="P846" s="26"/>
      <x:c r="Q846" s="13" t="str"/>
      <x:c r="R846" s="13" t="str"/>
      <x:c r="S846" s="13" t="str"/>
      <x:c r="T846" s="13" t="str"/>
    </x:row>
    <x:row r="847">
      <x:c r="A847" s="13" t="str">
        <x:v>Jair</x:v>
      </x:c>
      <x:c r="B847" s="13" t="n">
        <x:v>2027</x:v>
      </x:c>
      <x:c r="C847" s="13" t="str">
        <x:v>T2</x:v>
      </x:c>
      <x:c r="D847" s="24" t="n">
        <x:v>46568</x:v>
      </x:c>
      <x:c r="E847" s="13" t="str">
        <x:v>Zagueiro</x:v>
      </x:c>
      <x:c r="F847" s="13" t="str">
        <x:v>Nottingham Forest</x:v>
      </x:c>
      <x:c r="G847" s="16"/>
      <x:c r="H847" s="16"/>
      <x:c r="I847" s="16"/>
      <x:c r="J847" s="16"/>
      <x:c r="K847" s="16" t="str">
        <x:f>IF(COUNT(G847,I847)=0,"",AVERAGE(G847,I847))</x:f>
      </x:c>
      <x:c r="L847" s="16" t="str">
        <x:f>IF(COUNT(H847,J847)=0,"",AVERAGE(H847,J847))</x:f>
      </x:c>
      <x:c r="M847" s="16" t="str">
        <x:f>IF(OR(K847="",L847=""),"",L847-K847)</x:f>
      </x:c>
      <x:c r="N847" s="16" t="str">
        <x:f>IF(AND(A847=A846,ISNUMBER(K847),ISNUMBER(K846)),K847-K846,"")</x:f>
      </x:c>
      <x:c r="O847" s="13" t="str">
        <x:v>Sem informação</x:v>
      </x:c>
      <x:c r="P847" s="26"/>
      <x:c r="Q847" s="13" t="str"/>
      <x:c r="R847" s="13" t="str"/>
      <x:c r="S847" s="13" t="str"/>
      <x:c r="T847" s="13" t="str"/>
    </x:row>
    <x:row r="848">
      <x:c r="A848" s="13" t="str">
        <x:v>Jair</x:v>
      </x:c>
      <x:c r="B848" s="13" t="n">
        <x:v>2027</x:v>
      </x:c>
      <x:c r="C848" s="13" t="str">
        <x:v>T3</x:v>
      </x:c>
      <x:c r="D848" s="24" t="n">
        <x:v>46660</x:v>
      </x:c>
      <x:c r="E848" s="13" t="str">
        <x:v>Zagueiro</x:v>
      </x:c>
      <x:c r="F848" s="13" t="str">
        <x:v>Nottingham Forest</x:v>
      </x:c>
      <x:c r="G848" s="16"/>
      <x:c r="H848" s="16"/>
      <x:c r="I848" s="16"/>
      <x:c r="J848" s="16"/>
      <x:c r="K848" s="16" t="str">
        <x:f>IF(COUNT(G848,I848)=0,"",AVERAGE(G848,I848))</x:f>
      </x:c>
      <x:c r="L848" s="16" t="str">
        <x:f>IF(COUNT(H848,J848)=0,"",AVERAGE(H848,J848))</x:f>
      </x:c>
      <x:c r="M848" s="16" t="str">
        <x:f>IF(OR(K848="",L848=""),"",L848-K848)</x:f>
      </x:c>
      <x:c r="N848" s="16" t="str">
        <x:f>IF(AND(A848=A847,ISNUMBER(K848),ISNUMBER(K847)),K848-K847,"")</x:f>
      </x:c>
      <x:c r="O848" s="13" t="str">
        <x:v>Sem informação</x:v>
      </x:c>
      <x:c r="P848" s="26"/>
      <x:c r="Q848" s="13" t="str"/>
      <x:c r="R848" s="13" t="str"/>
      <x:c r="S848" s="13" t="str"/>
      <x:c r="T848" s="13" t="str"/>
    </x:row>
    <x:row r="849">
      <x:c r="A849" s="13" t="str">
        <x:v>Jair</x:v>
      </x:c>
      <x:c r="B849" s="13" t="n">
        <x:v>2027</x:v>
      </x:c>
      <x:c r="C849" s="13" t="str">
        <x:v>T4</x:v>
      </x:c>
      <x:c r="D849" s="24" t="n">
        <x:v>46752</x:v>
      </x:c>
      <x:c r="E849" s="13" t="str">
        <x:v>Zagueiro</x:v>
      </x:c>
      <x:c r="F849" s="13" t="str">
        <x:v>Nottingham Forest</x:v>
      </x:c>
      <x:c r="G849" s="16"/>
      <x:c r="H849" s="16"/>
      <x:c r="I849" s="16"/>
      <x:c r="J849" s="16"/>
      <x:c r="K849" s="16" t="str">
        <x:f>IF(COUNT(G849,I849)=0,"",AVERAGE(G849,I849))</x:f>
      </x:c>
      <x:c r="L849" s="16" t="str">
        <x:f>IF(COUNT(H849,J849)=0,"",AVERAGE(H849,J849))</x:f>
      </x:c>
      <x:c r="M849" s="16" t="str">
        <x:f>IF(OR(K849="",L849=""),"",L849-K849)</x:f>
      </x:c>
      <x:c r="N849" s="16" t="str">
        <x:f>IF(AND(A849=A848,ISNUMBER(K849),ISNUMBER(K848)),K849-K848,"")</x:f>
      </x:c>
      <x:c r="O849" s="13" t="str">
        <x:v>Sem informação</x:v>
      </x:c>
      <x:c r="P849" s="26"/>
      <x:c r="Q849" s="13" t="str"/>
      <x:c r="R849" s="13" t="str"/>
      <x:c r="S849" s="13" t="str"/>
      <x:c r="T849" s="13" t="str"/>
    </x:row>
    <x:row r="850">
      <x:c r="A850" s="13" t="str">
        <x:v>Jair</x:v>
      </x:c>
      <x:c r="B850" s="13" t="n">
        <x:v>2028</x:v>
      </x:c>
      <x:c r="C850" s="13" t="str">
        <x:v>T1</x:v>
      </x:c>
      <x:c r="D850" s="24" t="n">
        <x:v>46843</x:v>
      </x:c>
      <x:c r="E850" s="13" t="str">
        <x:v>Zagueiro</x:v>
      </x:c>
      <x:c r="F850" s="13" t="str">
        <x:v>Nottingham Forest</x:v>
      </x:c>
      <x:c r="G850" s="16"/>
      <x:c r="H850" s="16"/>
      <x:c r="I850" s="16"/>
      <x:c r="J850" s="16"/>
      <x:c r="K850" s="16" t="str">
        <x:f>IF(COUNT(G850,I850)=0,"",AVERAGE(G850,I850))</x:f>
      </x:c>
      <x:c r="L850" s="16" t="str">
        <x:f>IF(COUNT(H850,J850)=0,"",AVERAGE(H850,J850))</x:f>
      </x:c>
      <x:c r="M850" s="16" t="str">
        <x:f>IF(OR(K850="",L850=""),"",L850-K850)</x:f>
      </x:c>
      <x:c r="N850" s="16" t="str">
        <x:f>IF(AND(A850=A849,ISNUMBER(K850),ISNUMBER(K849)),K850-K849,"")</x:f>
      </x:c>
      <x:c r="O850" s="13" t="str">
        <x:v>Sem informação</x:v>
      </x:c>
      <x:c r="P850" s="26"/>
      <x:c r="Q850" s="13" t="str"/>
      <x:c r="R850" s="13" t="str"/>
      <x:c r="S850" s="13" t="str"/>
      <x:c r="T850" s="13" t="str"/>
    </x:row>
    <x:row r="851">
      <x:c r="A851" s="13" t="str">
        <x:v>Jair</x:v>
      </x:c>
      <x:c r="B851" s="13" t="n">
        <x:v>2028</x:v>
      </x:c>
      <x:c r="C851" s="13" t="str">
        <x:v>T2</x:v>
      </x:c>
      <x:c r="D851" s="24" t="n">
        <x:v>46934</x:v>
      </x:c>
      <x:c r="E851" s="13" t="str">
        <x:v>Zagueiro</x:v>
      </x:c>
      <x:c r="F851" s="13" t="str">
        <x:v>Nottingham Forest</x:v>
      </x:c>
      <x:c r="G851" s="16"/>
      <x:c r="H851" s="16"/>
      <x:c r="I851" s="16"/>
      <x:c r="J851" s="16"/>
      <x:c r="K851" s="16" t="str">
        <x:f>IF(COUNT(G851,I851)=0,"",AVERAGE(G851,I851))</x:f>
      </x:c>
      <x:c r="L851" s="16" t="str">
        <x:f>IF(COUNT(H851,J851)=0,"",AVERAGE(H851,J851))</x:f>
      </x:c>
      <x:c r="M851" s="16" t="str">
        <x:f>IF(OR(K851="",L851=""),"",L851-K851)</x:f>
      </x:c>
      <x:c r="N851" s="16" t="str">
        <x:f>IF(AND(A851=A850,ISNUMBER(K851),ISNUMBER(K850)),K851-K850,"")</x:f>
      </x:c>
      <x:c r="O851" s="13" t="str">
        <x:v>Sem informação</x:v>
      </x:c>
      <x:c r="P851" s="26"/>
      <x:c r="Q851" s="13" t="str"/>
      <x:c r="R851" s="13" t="str"/>
      <x:c r="S851" s="13" t="str"/>
      <x:c r="T851" s="13" t="str"/>
    </x:row>
    <x:row r="852">
      <x:c r="A852" s="13" t="str">
        <x:v>Jair</x:v>
      </x:c>
      <x:c r="B852" s="13" t="n">
        <x:v>2028</x:v>
      </x:c>
      <x:c r="C852" s="13" t="str">
        <x:v>T3</x:v>
      </x:c>
      <x:c r="D852" s="24" t="n">
        <x:v>47026</x:v>
      </x:c>
      <x:c r="E852" s="13" t="str">
        <x:v>Zagueiro</x:v>
      </x:c>
      <x:c r="F852" s="13" t="str">
        <x:v>Nottingham Forest</x:v>
      </x:c>
      <x:c r="G852" s="16"/>
      <x:c r="H852" s="16"/>
      <x:c r="I852" s="16"/>
      <x:c r="J852" s="16"/>
      <x:c r="K852" s="16" t="str">
        <x:f>IF(COUNT(G852,I852)=0,"",AVERAGE(G852,I852))</x:f>
      </x:c>
      <x:c r="L852" s="16" t="str">
        <x:f>IF(COUNT(H852,J852)=0,"",AVERAGE(H852,J852))</x:f>
      </x:c>
      <x:c r="M852" s="16" t="str">
        <x:f>IF(OR(K852="",L852=""),"",L852-K852)</x:f>
      </x:c>
      <x:c r="N852" s="16" t="str">
        <x:f>IF(AND(A852=A851,ISNUMBER(K852),ISNUMBER(K851)),K852-K851,"")</x:f>
      </x:c>
      <x:c r="O852" s="13" t="str">
        <x:v>Sem informação</x:v>
      </x:c>
      <x:c r="P852" s="26"/>
      <x:c r="Q852" s="13" t="str"/>
      <x:c r="R852" s="13" t="str"/>
      <x:c r="S852" s="13" t="str"/>
      <x:c r="T852" s="13" t="str"/>
    </x:row>
    <x:row r="853">
      <x:c r="A853" s="13" t="str">
        <x:v>Jair</x:v>
      </x:c>
      <x:c r="B853" s="13" t="n">
        <x:v>2028</x:v>
      </x:c>
      <x:c r="C853" s="13" t="str">
        <x:v>T4</x:v>
      </x:c>
      <x:c r="D853" s="24" t="n">
        <x:v>47118</x:v>
      </x:c>
      <x:c r="E853" s="13" t="str">
        <x:v>Zagueiro</x:v>
      </x:c>
      <x:c r="F853" s="13" t="str">
        <x:v>Nottingham Forest</x:v>
      </x:c>
      <x:c r="G853" s="16"/>
      <x:c r="H853" s="16"/>
      <x:c r="I853" s="16"/>
      <x:c r="J853" s="16"/>
      <x:c r="K853" s="16" t="str">
        <x:f>IF(COUNT(G853,I853)=0,"",AVERAGE(G853,I853))</x:f>
      </x:c>
      <x:c r="L853" s="16" t="str">
        <x:f>IF(COUNT(H853,J853)=0,"",AVERAGE(H853,J853))</x:f>
      </x:c>
      <x:c r="M853" s="16" t="str">
        <x:f>IF(OR(K853="",L853=""),"",L853-K853)</x:f>
      </x:c>
      <x:c r="N853" s="16" t="str">
        <x:f>IF(AND(A853=A852,ISNUMBER(K853),ISNUMBER(K852)),K853-K852,"")</x:f>
      </x:c>
      <x:c r="O853" s="13" t="str">
        <x:v>Sem informação</x:v>
      </x:c>
      <x:c r="P853" s="26"/>
      <x:c r="Q853" s="13" t="str"/>
      <x:c r="R853" s="13" t="str"/>
      <x:c r="S853" s="13" t="str"/>
      <x:c r="T853" s="13" t="str"/>
    </x:row>
    <x:row r="854">
      <x:c r="A854" s="13" t="str">
        <x:v>Jair</x:v>
      </x:c>
      <x:c r="B854" s="13" t="n">
        <x:v>2029</x:v>
      </x:c>
      <x:c r="C854" s="13" t="str">
        <x:v>T1</x:v>
      </x:c>
      <x:c r="D854" s="24" t="n">
        <x:v>47208</x:v>
      </x:c>
      <x:c r="E854" s="13" t="str">
        <x:v>Zagueiro</x:v>
      </x:c>
      <x:c r="F854" s="13" t="str">
        <x:v>Nottingham Forest</x:v>
      </x:c>
      <x:c r="G854" s="16"/>
      <x:c r="H854" s="16"/>
      <x:c r="I854" s="16"/>
      <x:c r="J854" s="16"/>
      <x:c r="K854" s="16" t="str">
        <x:f>IF(COUNT(G854,I854)=0,"",AVERAGE(G854,I854))</x:f>
      </x:c>
      <x:c r="L854" s="16" t="str">
        <x:f>IF(COUNT(H854,J854)=0,"",AVERAGE(H854,J854))</x:f>
      </x:c>
      <x:c r="M854" s="16" t="str">
        <x:f>IF(OR(K854="",L854=""),"",L854-K854)</x:f>
      </x:c>
      <x:c r="N854" s="16" t="str">
        <x:f>IF(AND(A854=A853,ISNUMBER(K854),ISNUMBER(K853)),K854-K853,"")</x:f>
      </x:c>
      <x:c r="O854" s="13" t="str">
        <x:v>Sem informação</x:v>
      </x:c>
      <x:c r="P854" s="26"/>
      <x:c r="Q854" s="13" t="str"/>
      <x:c r="R854" s="13" t="str"/>
      <x:c r="S854" s="13" t="str"/>
      <x:c r="T854" s="13" t="str"/>
    </x:row>
    <x:row r="855">
      <x:c r="A855" s="13" t="str">
        <x:v>Jair</x:v>
      </x:c>
      <x:c r="B855" s="13" t="n">
        <x:v>2029</x:v>
      </x:c>
      <x:c r="C855" s="13" t="str">
        <x:v>T2</x:v>
      </x:c>
      <x:c r="D855" s="24" t="n">
        <x:v>47299</x:v>
      </x:c>
      <x:c r="E855" s="13" t="str">
        <x:v>Zagueiro</x:v>
      </x:c>
      <x:c r="F855" s="13" t="str">
        <x:v>Nottingham Forest</x:v>
      </x:c>
      <x:c r="G855" s="16"/>
      <x:c r="H855" s="16"/>
      <x:c r="I855" s="16"/>
      <x:c r="J855" s="16"/>
      <x:c r="K855" s="16" t="str">
        <x:f>IF(COUNT(G855,I855)=0,"",AVERAGE(G855,I855))</x:f>
      </x:c>
      <x:c r="L855" s="16" t="str">
        <x:f>IF(COUNT(H855,J855)=0,"",AVERAGE(H855,J855))</x:f>
      </x:c>
      <x:c r="M855" s="16" t="str">
        <x:f>IF(OR(K855="",L855=""),"",L855-K855)</x:f>
      </x:c>
      <x:c r="N855" s="16" t="str">
        <x:f>IF(AND(A855=A854,ISNUMBER(K855),ISNUMBER(K854)),K855-K854,"")</x:f>
      </x:c>
      <x:c r="O855" s="13" t="str">
        <x:v>Sem informação</x:v>
      </x:c>
      <x:c r="P855" s="26"/>
      <x:c r="Q855" s="13" t="str"/>
      <x:c r="R855" s="13" t="str"/>
      <x:c r="S855" s="13" t="str"/>
      <x:c r="T855" s="13" t="str"/>
    </x:row>
    <x:row r="856">
      <x:c r="A856" s="13" t="str">
        <x:v>Jair</x:v>
      </x:c>
      <x:c r="B856" s="13" t="n">
        <x:v>2029</x:v>
      </x:c>
      <x:c r="C856" s="13" t="str">
        <x:v>T3</x:v>
      </x:c>
      <x:c r="D856" s="24" t="n">
        <x:v>47391</x:v>
      </x:c>
      <x:c r="E856" s="13" t="str">
        <x:v>Zagueiro</x:v>
      </x:c>
      <x:c r="F856" s="13" t="str">
        <x:v>Nottingham Forest</x:v>
      </x:c>
      <x:c r="G856" s="16"/>
      <x:c r="H856" s="16"/>
      <x:c r="I856" s="16"/>
      <x:c r="J856" s="16"/>
      <x:c r="K856" s="16" t="str">
        <x:f>IF(COUNT(G856,I856)=0,"",AVERAGE(G856,I856))</x:f>
      </x:c>
      <x:c r="L856" s="16" t="str">
        <x:f>IF(COUNT(H856,J856)=0,"",AVERAGE(H856,J856))</x:f>
      </x:c>
      <x:c r="M856" s="16" t="str">
        <x:f>IF(OR(K856="",L856=""),"",L856-K856)</x:f>
      </x:c>
      <x:c r="N856" s="16" t="str">
        <x:f>IF(AND(A856=A855,ISNUMBER(K856),ISNUMBER(K855)),K856-K855,"")</x:f>
      </x:c>
      <x:c r="O856" s="13" t="str">
        <x:v>Sem informação</x:v>
      </x:c>
      <x:c r="P856" s="26"/>
      <x:c r="Q856" s="13" t="str"/>
      <x:c r="R856" s="13" t="str"/>
      <x:c r="S856" s="13" t="str"/>
      <x:c r="T856" s="13" t="str"/>
    </x:row>
    <x:row r="857">
      <x:c r="A857" s="13" t="str">
        <x:v>Jair</x:v>
      </x:c>
      <x:c r="B857" s="13" t="n">
        <x:v>2029</x:v>
      </x:c>
      <x:c r="C857" s="13" t="str">
        <x:v>T4</x:v>
      </x:c>
      <x:c r="D857" s="24" t="n">
        <x:v>47483</x:v>
      </x:c>
      <x:c r="E857" s="13" t="str">
        <x:v>Zagueiro</x:v>
      </x:c>
      <x:c r="F857" s="13" t="str">
        <x:v>Nottingham Forest</x:v>
      </x:c>
      <x:c r="G857" s="16"/>
      <x:c r="H857" s="16"/>
      <x:c r="I857" s="16"/>
      <x:c r="J857" s="16"/>
      <x:c r="K857" s="16" t="str">
        <x:f>IF(COUNT(G857,I857)=0,"",AVERAGE(G857,I857))</x:f>
      </x:c>
      <x:c r="L857" s="16" t="str">
        <x:f>IF(COUNT(H857,J857)=0,"",AVERAGE(H857,J857))</x:f>
      </x:c>
      <x:c r="M857" s="16" t="str">
        <x:f>IF(OR(K857="",L857=""),"",L857-K857)</x:f>
      </x:c>
      <x:c r="N857" s="16" t="str">
        <x:f>IF(AND(A857=A856,ISNUMBER(K857),ISNUMBER(K856)),K857-K856,"")</x:f>
      </x:c>
      <x:c r="O857" s="13" t="str">
        <x:v>Sem informação</x:v>
      </x:c>
      <x:c r="P857" s="26"/>
      <x:c r="Q857" s="13" t="str"/>
      <x:c r="R857" s="13" t="str"/>
      <x:c r="S857" s="13" t="str"/>
      <x:c r="T857" s="13" t="str"/>
    </x:row>
    <x:row r="858">
      <x:c r="A858" s="13" t="str">
        <x:v>Jair</x:v>
      </x:c>
      <x:c r="B858" s="13" t="n">
        <x:v>2030</x:v>
      </x:c>
      <x:c r="C858" s="13" t="str">
        <x:v>T1</x:v>
      </x:c>
      <x:c r="D858" s="24" t="n">
        <x:v>47573</x:v>
      </x:c>
      <x:c r="E858" s="13" t="str">
        <x:v>Zagueiro</x:v>
      </x:c>
      <x:c r="F858" s="13" t="str">
        <x:v>Nottingham Forest</x:v>
      </x:c>
      <x:c r="G858" s="16"/>
      <x:c r="H858" s="16"/>
      <x:c r="I858" s="16"/>
      <x:c r="J858" s="16"/>
      <x:c r="K858" s="16" t="str">
        <x:f>IF(COUNT(G858,I858)=0,"",AVERAGE(G858,I858))</x:f>
      </x:c>
      <x:c r="L858" s="16" t="str">
        <x:f>IF(COUNT(H858,J858)=0,"",AVERAGE(H858,J858))</x:f>
      </x:c>
      <x:c r="M858" s="16" t="str">
        <x:f>IF(OR(K858="",L858=""),"",L858-K858)</x:f>
      </x:c>
      <x:c r="N858" s="16" t="str">
        <x:f>IF(AND(A858=A857,ISNUMBER(K858),ISNUMBER(K857)),K858-K857,"")</x:f>
      </x:c>
      <x:c r="O858" s="13" t="str">
        <x:v>Sem informação</x:v>
      </x:c>
      <x:c r="P858" s="26"/>
      <x:c r="Q858" s="13" t="str"/>
      <x:c r="R858" s="13" t="str"/>
      <x:c r="S858" s="13" t="str"/>
      <x:c r="T858" s="13" t="str"/>
    </x:row>
    <x:row r="859">
      <x:c r="A859" s="13" t="str">
        <x:v>Jair</x:v>
      </x:c>
      <x:c r="B859" s="13" t="n">
        <x:v>2030</x:v>
      </x:c>
      <x:c r="C859" s="13" t="str">
        <x:v>T2</x:v>
      </x:c>
      <x:c r="D859" s="24" t="n">
        <x:v>47664</x:v>
      </x:c>
      <x:c r="E859" s="13" t="str">
        <x:v>Zagueiro</x:v>
      </x:c>
      <x:c r="F859" s="13" t="str">
        <x:v>Nottingham Forest</x:v>
      </x:c>
      <x:c r="G859" s="16"/>
      <x:c r="H859" s="16"/>
      <x:c r="I859" s="16"/>
      <x:c r="J859" s="16"/>
      <x:c r="K859" s="16" t="str">
        <x:f>IF(COUNT(G859,I859)=0,"",AVERAGE(G859,I859))</x:f>
      </x:c>
      <x:c r="L859" s="16" t="str">
        <x:f>IF(COUNT(H859,J859)=0,"",AVERAGE(H859,J859))</x:f>
      </x:c>
      <x:c r="M859" s="16" t="str">
        <x:f>IF(OR(K859="",L859=""),"",L859-K859)</x:f>
      </x:c>
      <x:c r="N859" s="16" t="str">
        <x:f>IF(AND(A859=A858,ISNUMBER(K859),ISNUMBER(K858)),K859-K858,"")</x:f>
      </x:c>
      <x:c r="O859" s="13" t="str">
        <x:v>Sem informação</x:v>
      </x:c>
      <x:c r="P859" s="26"/>
      <x:c r="Q859" s="13" t="str"/>
      <x:c r="R859" s="13" t="str"/>
      <x:c r="S859" s="13" t="str"/>
      <x:c r="T859" s="13" t="str"/>
    </x:row>
    <x:row r="860">
      <x:c r="A860" s="13" t="str">
        <x:v>Jair</x:v>
      </x:c>
      <x:c r="B860" s="13" t="n">
        <x:v>2030</x:v>
      </x:c>
      <x:c r="C860" s="13" t="str">
        <x:v>T3</x:v>
      </x:c>
      <x:c r="D860" s="24" t="n">
        <x:v>47756</x:v>
      </x:c>
      <x:c r="E860" s="13" t="str">
        <x:v>Zagueiro</x:v>
      </x:c>
      <x:c r="F860" s="13" t="str">
        <x:v>Nottingham Forest</x:v>
      </x:c>
      <x:c r="G860" s="16"/>
      <x:c r="H860" s="16"/>
      <x:c r="I860" s="16"/>
      <x:c r="J860" s="16"/>
      <x:c r="K860" s="16" t="str">
        <x:f>IF(COUNT(G860,I860)=0,"",AVERAGE(G860,I860))</x:f>
      </x:c>
      <x:c r="L860" s="16" t="str">
        <x:f>IF(COUNT(H860,J860)=0,"",AVERAGE(H860,J860))</x:f>
      </x:c>
      <x:c r="M860" s="16" t="str">
        <x:f>IF(OR(K860="",L860=""),"",L860-K860)</x:f>
      </x:c>
      <x:c r="N860" s="16" t="str">
        <x:f>IF(AND(A860=A859,ISNUMBER(K860),ISNUMBER(K859)),K860-K859,"")</x:f>
      </x:c>
      <x:c r="O860" s="13" t="str">
        <x:v>Sem informação</x:v>
      </x:c>
      <x:c r="P860" s="26"/>
      <x:c r="Q860" s="13" t="str"/>
      <x:c r="R860" s="13" t="str"/>
      <x:c r="S860" s="13" t="str"/>
      <x:c r="T860" s="13" t="str"/>
    </x:row>
    <x:row r="861">
      <x:c r="A861" s="13" t="str">
        <x:v>Jair</x:v>
      </x:c>
      <x:c r="B861" s="13" t="n">
        <x:v>2030</x:v>
      </x:c>
      <x:c r="C861" s="13" t="str">
        <x:v>T4</x:v>
      </x:c>
      <x:c r="D861" s="24" t="n">
        <x:v>47848</x:v>
      </x:c>
      <x:c r="E861" s="13" t="str">
        <x:v>Zagueiro</x:v>
      </x:c>
      <x:c r="F861" s="13" t="str">
        <x:v>Nottingham Forest</x:v>
      </x:c>
      <x:c r="G861" s="16"/>
      <x:c r="H861" s="16"/>
      <x:c r="I861" s="16"/>
      <x:c r="J861" s="16"/>
      <x:c r="K861" s="16" t="str">
        <x:f>IF(COUNT(G861,I861)=0,"",AVERAGE(G861,I861))</x:f>
      </x:c>
      <x:c r="L861" s="16" t="str">
        <x:f>IF(COUNT(H861,J861)=0,"",AVERAGE(H861,J861))</x:f>
      </x:c>
      <x:c r="M861" s="16" t="str">
        <x:f>IF(OR(K861="",L861=""),"",L861-K861)</x:f>
      </x:c>
      <x:c r="N861" s="16" t="str">
        <x:f>IF(AND(A861=A860,ISNUMBER(K861),ISNUMBER(K860)),K861-K860,"")</x:f>
      </x:c>
      <x:c r="O861" s="13" t="str">
        <x:v>Sem informação</x:v>
      </x:c>
      <x:c r="P861" s="26"/>
      <x:c r="Q861" s="13" t="str"/>
      <x:c r="R861" s="13" t="str"/>
      <x:c r="S861" s="13" t="str"/>
      <x:c r="T861" s="13" t="str"/>
    </x:row>
    <x:row r="862">
      <x:c r="A862" s="13" t="str">
        <x:v>João Pedro</x:v>
      </x:c>
      <x:c r="B862" s="13" t="n">
        <x:v>2026</x:v>
      </x:c>
      <x:c r="C862" s="13" t="str">
        <x:v>T1</x:v>
      </x:c>
      <x:c r="D862" s="24" t="n">
        <x:v>46112</x:v>
      </x:c>
      <x:c r="E862" s="13" t="str">
        <x:v>Centroavante</x:v>
      </x:c>
      <x:c r="F862" s="13" t="str">
        <x:v>Chelsea FC</x:v>
      </x:c>
      <x:c r="G862" s="16"/>
      <x:c r="H862" s="16"/>
      <x:c r="I862" s="16"/>
      <x:c r="J862" s="16"/>
      <x:c r="K862" s="16" t="str">
        <x:f>IF(COUNT(G862,I862)=0,"",AVERAGE(G862,I862))</x:f>
      </x:c>
      <x:c r="L862" s="16" t="str">
        <x:f>IF(COUNT(H862,J862)=0,"",AVERAGE(H862,J862))</x:f>
      </x:c>
      <x:c r="M862" s="16" t="str">
        <x:f>IF(OR(K862="",L862=""),"",L862-K862)</x:f>
      </x:c>
      <x:c r="N862" s="16" t="str">
        <x:f>""</x:f>
      </x:c>
      <x:c r="O862" s="13" t="str">
        <x:v>Sem informação</x:v>
      </x:c>
      <x:c r="P862" s="26"/>
      <x:c r="Q862" s="13" t="str"/>
      <x:c r="R862" s="13" t="str"/>
      <x:c r="S862" s="13" t="str"/>
      <x:c r="T862" s="13" t="str"/>
    </x:row>
    <x:row r="863">
      <x:c r="A863" s="13" t="str">
        <x:v>João Pedro</x:v>
      </x:c>
      <x:c r="B863" s="13" t="n">
        <x:v>2026</x:v>
      </x:c>
      <x:c r="C863" s="13" t="str">
        <x:v>T2</x:v>
      </x:c>
      <x:c r="D863" s="24" t="n">
        <x:v>46203</x:v>
      </x:c>
      <x:c r="E863" s="13" t="str">
        <x:v>Centroavante</x:v>
      </x:c>
      <x:c r="F863" s="13" t="str">
        <x:v>Chelsea FC</x:v>
      </x:c>
      <x:c r="G863" s="16"/>
      <x:c r="H863" s="16"/>
      <x:c r="I863" s="16"/>
      <x:c r="J863" s="16"/>
      <x:c r="K863" s="16" t="str">
        <x:f>IF(COUNT(G863,I863)=0,"",AVERAGE(G863,I863))</x:f>
      </x:c>
      <x:c r="L863" s="16" t="str">
        <x:f>IF(COUNT(H863,J863)=0,"",AVERAGE(H863,J863))</x:f>
      </x:c>
      <x:c r="M863" s="16" t="str">
        <x:f>IF(OR(K863="",L863=""),"",L863-K863)</x:f>
      </x:c>
      <x:c r="N863" s="16" t="str">
        <x:f>IF(AND(A863=A862,ISNUMBER(K863),ISNUMBER(K862)),K863-K862,"")</x:f>
      </x:c>
      <x:c r="O863" s="13" t="str">
        <x:v>Sem informação</x:v>
      </x:c>
      <x:c r="P863" s="26"/>
      <x:c r="Q863" s="13" t="str"/>
      <x:c r="R863" s="13" t="str"/>
      <x:c r="S863" s="13" t="str"/>
      <x:c r="T863" s="13" t="str"/>
    </x:row>
    <x:row r="864">
      <x:c r="A864" s="13" t="str">
        <x:v>João Pedro</x:v>
      </x:c>
      <x:c r="B864" s="13" t="n">
        <x:v>2026</x:v>
      </x:c>
      <x:c r="C864" s="13" t="str">
        <x:v>T3</x:v>
      </x:c>
      <x:c r="D864" s="24" t="n">
        <x:v>46295</x:v>
      </x:c>
      <x:c r="E864" s="13" t="str">
        <x:v>Centroavante</x:v>
      </x:c>
      <x:c r="F864" s="13" t="str">
        <x:v>Chelsea FC</x:v>
      </x:c>
      <x:c r="G864" s="16"/>
      <x:c r="H864" s="16"/>
      <x:c r="I864" s="16"/>
      <x:c r="J864" s="16"/>
      <x:c r="K864" s="16" t="str">
        <x:f>IF(COUNT(G864,I864)=0,"",AVERAGE(G864,I864))</x:f>
      </x:c>
      <x:c r="L864" s="16" t="str">
        <x:f>IF(COUNT(H864,J864)=0,"",AVERAGE(H864,J864))</x:f>
      </x:c>
      <x:c r="M864" s="16" t="str">
        <x:f>IF(OR(K864="",L864=""),"",L864-K864)</x:f>
      </x:c>
      <x:c r="N864" s="16" t="str">
        <x:f>IF(AND(A864=A863,ISNUMBER(K864),ISNUMBER(K863)),K864-K863,"")</x:f>
      </x:c>
      <x:c r="O864" s="13" t="str">
        <x:v>Sem informação</x:v>
      </x:c>
      <x:c r="P864" s="26"/>
      <x:c r="Q864" s="13" t="str"/>
      <x:c r="R864" s="13" t="str"/>
      <x:c r="S864" s="13" t="str"/>
      <x:c r="T864" s="13" t="str"/>
    </x:row>
    <x:row r="865">
      <x:c r="A865" s="13" t="str">
        <x:v>João Pedro</x:v>
      </x:c>
      <x:c r="B865" s="13" t="n">
        <x:v>2026</x:v>
      </x:c>
      <x:c r="C865" s="13" t="str">
        <x:v>T4</x:v>
      </x:c>
      <x:c r="D865" s="24" t="n">
        <x:v>46387</x:v>
      </x:c>
      <x:c r="E865" s="13" t="str">
        <x:v>Centroavante</x:v>
      </x:c>
      <x:c r="F865" s="13" t="str">
        <x:v>Chelsea FC</x:v>
      </x:c>
      <x:c r="G865" s="16"/>
      <x:c r="H865" s="16"/>
      <x:c r="I865" s="16"/>
      <x:c r="J865" s="16"/>
      <x:c r="K865" s="16" t="str">
        <x:f>IF(COUNT(G865,I865)=0,"",AVERAGE(G865,I865))</x:f>
      </x:c>
      <x:c r="L865" s="16" t="str">
        <x:f>IF(COUNT(H865,J865)=0,"",AVERAGE(H865,J865))</x:f>
      </x:c>
      <x:c r="M865" s="16" t="str">
        <x:f>IF(OR(K865="",L865=""),"",L865-K865)</x:f>
      </x:c>
      <x:c r="N865" s="16" t="str">
        <x:f>IF(AND(A865=A864,ISNUMBER(K865),ISNUMBER(K864)),K865-K864,"")</x:f>
      </x:c>
      <x:c r="O865" s="13" t="str">
        <x:v>Sem informação</x:v>
      </x:c>
      <x:c r="P865" s="26"/>
      <x:c r="Q865" s="13" t="str"/>
      <x:c r="R865" s="13" t="str"/>
      <x:c r="S865" s="13" t="str"/>
      <x:c r="T865" s="13" t="str"/>
    </x:row>
    <x:row r="866">
      <x:c r="A866" s="13" t="str">
        <x:v>João Pedro</x:v>
      </x:c>
      <x:c r="B866" s="13" t="n">
        <x:v>2027</x:v>
      </x:c>
      <x:c r="C866" s="13" t="str">
        <x:v>T1</x:v>
      </x:c>
      <x:c r="D866" s="24" t="n">
        <x:v>46477</x:v>
      </x:c>
      <x:c r="E866" s="13" t="str">
        <x:v>Centroavante</x:v>
      </x:c>
      <x:c r="F866" s="13" t="str">
        <x:v>Chelsea FC</x:v>
      </x:c>
      <x:c r="G866" s="16"/>
      <x:c r="H866" s="16"/>
      <x:c r="I866" s="16"/>
      <x:c r="J866" s="16"/>
      <x:c r="K866" s="16" t="str">
        <x:f>IF(COUNT(G866,I866)=0,"",AVERAGE(G866,I866))</x:f>
      </x:c>
      <x:c r="L866" s="16" t="str">
        <x:f>IF(COUNT(H866,J866)=0,"",AVERAGE(H866,J866))</x:f>
      </x:c>
      <x:c r="M866" s="16" t="str">
        <x:f>IF(OR(K866="",L866=""),"",L866-K866)</x:f>
      </x:c>
      <x:c r="N866" s="16" t="str">
        <x:f>IF(AND(A866=A865,ISNUMBER(K866),ISNUMBER(K865)),K866-K865,"")</x:f>
      </x:c>
      <x:c r="O866" s="13" t="str">
        <x:v>Sem informação</x:v>
      </x:c>
      <x:c r="P866" s="26"/>
      <x:c r="Q866" s="13" t="str"/>
      <x:c r="R866" s="13" t="str"/>
      <x:c r="S866" s="13" t="str"/>
      <x:c r="T866" s="13" t="str"/>
    </x:row>
    <x:row r="867">
      <x:c r="A867" s="13" t="str">
        <x:v>João Pedro</x:v>
      </x:c>
      <x:c r="B867" s="13" t="n">
        <x:v>2027</x:v>
      </x:c>
      <x:c r="C867" s="13" t="str">
        <x:v>T2</x:v>
      </x:c>
      <x:c r="D867" s="24" t="n">
        <x:v>46568</x:v>
      </x:c>
      <x:c r="E867" s="13" t="str">
        <x:v>Centroavante</x:v>
      </x:c>
      <x:c r="F867" s="13" t="str">
        <x:v>Chelsea FC</x:v>
      </x:c>
      <x:c r="G867" s="16"/>
      <x:c r="H867" s="16"/>
      <x:c r="I867" s="16"/>
      <x:c r="J867" s="16"/>
      <x:c r="K867" s="16" t="str">
        <x:f>IF(COUNT(G867,I867)=0,"",AVERAGE(G867,I867))</x:f>
      </x:c>
      <x:c r="L867" s="16" t="str">
        <x:f>IF(COUNT(H867,J867)=0,"",AVERAGE(H867,J867))</x:f>
      </x:c>
      <x:c r="M867" s="16" t="str">
        <x:f>IF(OR(K867="",L867=""),"",L867-K867)</x:f>
      </x:c>
      <x:c r="N867" s="16" t="str">
        <x:f>IF(AND(A867=A866,ISNUMBER(K867),ISNUMBER(K866)),K867-K866,"")</x:f>
      </x:c>
      <x:c r="O867" s="13" t="str">
        <x:v>Sem informação</x:v>
      </x:c>
      <x:c r="P867" s="26"/>
      <x:c r="Q867" s="13" t="str"/>
      <x:c r="R867" s="13" t="str"/>
      <x:c r="S867" s="13" t="str"/>
      <x:c r="T867" s="13" t="str"/>
    </x:row>
    <x:row r="868">
      <x:c r="A868" s="13" t="str">
        <x:v>João Pedro</x:v>
      </x:c>
      <x:c r="B868" s="13" t="n">
        <x:v>2027</x:v>
      </x:c>
      <x:c r="C868" s="13" t="str">
        <x:v>T3</x:v>
      </x:c>
      <x:c r="D868" s="24" t="n">
        <x:v>46660</x:v>
      </x:c>
      <x:c r="E868" s="13" t="str">
        <x:v>Centroavante</x:v>
      </x:c>
      <x:c r="F868" s="13" t="str">
        <x:v>Chelsea FC</x:v>
      </x:c>
      <x:c r="G868" s="16"/>
      <x:c r="H868" s="16"/>
      <x:c r="I868" s="16"/>
      <x:c r="J868" s="16"/>
      <x:c r="K868" s="16" t="str">
        <x:f>IF(COUNT(G868,I868)=0,"",AVERAGE(G868,I868))</x:f>
      </x:c>
      <x:c r="L868" s="16" t="str">
        <x:f>IF(COUNT(H868,J868)=0,"",AVERAGE(H868,J868))</x:f>
      </x:c>
      <x:c r="M868" s="16" t="str">
        <x:f>IF(OR(K868="",L868=""),"",L868-K868)</x:f>
      </x:c>
      <x:c r="N868" s="16" t="str">
        <x:f>IF(AND(A868=A867,ISNUMBER(K868),ISNUMBER(K867)),K868-K867,"")</x:f>
      </x:c>
      <x:c r="O868" s="13" t="str">
        <x:v>Sem informação</x:v>
      </x:c>
      <x:c r="P868" s="26"/>
      <x:c r="Q868" s="13" t="str"/>
      <x:c r="R868" s="13" t="str"/>
      <x:c r="S868" s="13" t="str"/>
      <x:c r="T868" s="13" t="str"/>
    </x:row>
    <x:row r="869">
      <x:c r="A869" s="13" t="str">
        <x:v>João Pedro</x:v>
      </x:c>
      <x:c r="B869" s="13" t="n">
        <x:v>2027</x:v>
      </x:c>
      <x:c r="C869" s="13" t="str">
        <x:v>T4</x:v>
      </x:c>
      <x:c r="D869" s="24" t="n">
        <x:v>46752</x:v>
      </x:c>
      <x:c r="E869" s="13" t="str">
        <x:v>Centroavante</x:v>
      </x:c>
      <x:c r="F869" s="13" t="str">
        <x:v>Chelsea FC</x:v>
      </x:c>
      <x:c r="G869" s="16"/>
      <x:c r="H869" s="16"/>
      <x:c r="I869" s="16"/>
      <x:c r="J869" s="16"/>
      <x:c r="K869" s="16" t="str">
        <x:f>IF(COUNT(G869,I869)=0,"",AVERAGE(G869,I869))</x:f>
      </x:c>
      <x:c r="L869" s="16" t="str">
        <x:f>IF(COUNT(H869,J869)=0,"",AVERAGE(H869,J869))</x:f>
      </x:c>
      <x:c r="M869" s="16" t="str">
        <x:f>IF(OR(K869="",L869=""),"",L869-K869)</x:f>
      </x:c>
      <x:c r="N869" s="16" t="str">
        <x:f>IF(AND(A869=A868,ISNUMBER(K869),ISNUMBER(K868)),K869-K868,"")</x:f>
      </x:c>
      <x:c r="O869" s="13" t="str">
        <x:v>Sem informação</x:v>
      </x:c>
      <x:c r="P869" s="26"/>
      <x:c r="Q869" s="13" t="str"/>
      <x:c r="R869" s="13" t="str"/>
      <x:c r="S869" s="13" t="str"/>
      <x:c r="T869" s="13" t="str"/>
    </x:row>
    <x:row r="870">
      <x:c r="A870" s="13" t="str">
        <x:v>João Pedro</x:v>
      </x:c>
      <x:c r="B870" s="13" t="n">
        <x:v>2028</x:v>
      </x:c>
      <x:c r="C870" s="13" t="str">
        <x:v>T1</x:v>
      </x:c>
      <x:c r="D870" s="24" t="n">
        <x:v>46843</x:v>
      </x:c>
      <x:c r="E870" s="13" t="str">
        <x:v>Centroavante</x:v>
      </x:c>
      <x:c r="F870" s="13" t="str">
        <x:v>Chelsea FC</x:v>
      </x:c>
      <x:c r="G870" s="16"/>
      <x:c r="H870" s="16"/>
      <x:c r="I870" s="16"/>
      <x:c r="J870" s="16"/>
      <x:c r="K870" s="16" t="str">
        <x:f>IF(COUNT(G870,I870)=0,"",AVERAGE(G870,I870))</x:f>
      </x:c>
      <x:c r="L870" s="16" t="str">
        <x:f>IF(COUNT(H870,J870)=0,"",AVERAGE(H870,J870))</x:f>
      </x:c>
      <x:c r="M870" s="16" t="str">
        <x:f>IF(OR(K870="",L870=""),"",L870-K870)</x:f>
      </x:c>
      <x:c r="N870" s="16" t="str">
        <x:f>IF(AND(A870=A869,ISNUMBER(K870),ISNUMBER(K869)),K870-K869,"")</x:f>
      </x:c>
      <x:c r="O870" s="13" t="str">
        <x:v>Sem informação</x:v>
      </x:c>
      <x:c r="P870" s="26"/>
      <x:c r="Q870" s="13" t="str"/>
      <x:c r="R870" s="13" t="str"/>
      <x:c r="S870" s="13" t="str"/>
      <x:c r="T870" s="13" t="str"/>
    </x:row>
    <x:row r="871">
      <x:c r="A871" s="13" t="str">
        <x:v>João Pedro</x:v>
      </x:c>
      <x:c r="B871" s="13" t="n">
        <x:v>2028</x:v>
      </x:c>
      <x:c r="C871" s="13" t="str">
        <x:v>T2</x:v>
      </x:c>
      <x:c r="D871" s="24" t="n">
        <x:v>46934</x:v>
      </x:c>
      <x:c r="E871" s="13" t="str">
        <x:v>Centroavante</x:v>
      </x:c>
      <x:c r="F871" s="13" t="str">
        <x:v>Chelsea FC</x:v>
      </x:c>
      <x:c r="G871" s="16"/>
      <x:c r="H871" s="16"/>
      <x:c r="I871" s="16"/>
      <x:c r="J871" s="16"/>
      <x:c r="K871" s="16" t="str">
        <x:f>IF(COUNT(G871,I871)=0,"",AVERAGE(G871,I871))</x:f>
      </x:c>
      <x:c r="L871" s="16" t="str">
        <x:f>IF(COUNT(H871,J871)=0,"",AVERAGE(H871,J871))</x:f>
      </x:c>
      <x:c r="M871" s="16" t="str">
        <x:f>IF(OR(K871="",L871=""),"",L871-K871)</x:f>
      </x:c>
      <x:c r="N871" s="16" t="str">
        <x:f>IF(AND(A871=A870,ISNUMBER(K871),ISNUMBER(K870)),K871-K870,"")</x:f>
      </x:c>
      <x:c r="O871" s="13" t="str">
        <x:v>Sem informação</x:v>
      </x:c>
      <x:c r="P871" s="26"/>
      <x:c r="Q871" s="13" t="str"/>
      <x:c r="R871" s="13" t="str"/>
      <x:c r="S871" s="13" t="str"/>
      <x:c r="T871" s="13" t="str"/>
    </x:row>
    <x:row r="872">
      <x:c r="A872" s="13" t="str">
        <x:v>João Pedro</x:v>
      </x:c>
      <x:c r="B872" s="13" t="n">
        <x:v>2028</x:v>
      </x:c>
      <x:c r="C872" s="13" t="str">
        <x:v>T3</x:v>
      </x:c>
      <x:c r="D872" s="24" t="n">
        <x:v>47026</x:v>
      </x:c>
      <x:c r="E872" s="13" t="str">
        <x:v>Centroavante</x:v>
      </x:c>
      <x:c r="F872" s="13" t="str">
        <x:v>Chelsea FC</x:v>
      </x:c>
      <x:c r="G872" s="16"/>
      <x:c r="H872" s="16"/>
      <x:c r="I872" s="16"/>
      <x:c r="J872" s="16"/>
      <x:c r="K872" s="16" t="str">
        <x:f>IF(COUNT(G872,I872)=0,"",AVERAGE(G872,I872))</x:f>
      </x:c>
      <x:c r="L872" s="16" t="str">
        <x:f>IF(COUNT(H872,J872)=0,"",AVERAGE(H872,J872))</x:f>
      </x:c>
      <x:c r="M872" s="16" t="str">
        <x:f>IF(OR(K872="",L872=""),"",L872-K872)</x:f>
      </x:c>
      <x:c r="N872" s="16" t="str">
        <x:f>IF(AND(A872=A871,ISNUMBER(K872),ISNUMBER(K871)),K872-K871,"")</x:f>
      </x:c>
      <x:c r="O872" s="13" t="str">
        <x:v>Sem informação</x:v>
      </x:c>
      <x:c r="P872" s="26"/>
      <x:c r="Q872" s="13" t="str"/>
      <x:c r="R872" s="13" t="str"/>
      <x:c r="S872" s="13" t="str"/>
      <x:c r="T872" s="13" t="str"/>
    </x:row>
    <x:row r="873">
      <x:c r="A873" s="13" t="str">
        <x:v>João Pedro</x:v>
      </x:c>
      <x:c r="B873" s="13" t="n">
        <x:v>2028</x:v>
      </x:c>
      <x:c r="C873" s="13" t="str">
        <x:v>T4</x:v>
      </x:c>
      <x:c r="D873" s="24" t="n">
        <x:v>47118</x:v>
      </x:c>
      <x:c r="E873" s="13" t="str">
        <x:v>Centroavante</x:v>
      </x:c>
      <x:c r="F873" s="13" t="str">
        <x:v>Chelsea FC</x:v>
      </x:c>
      <x:c r="G873" s="16"/>
      <x:c r="H873" s="16"/>
      <x:c r="I873" s="16"/>
      <x:c r="J873" s="16"/>
      <x:c r="K873" s="16" t="str">
        <x:f>IF(COUNT(G873,I873)=0,"",AVERAGE(G873,I873))</x:f>
      </x:c>
      <x:c r="L873" s="16" t="str">
        <x:f>IF(COUNT(H873,J873)=0,"",AVERAGE(H873,J873))</x:f>
      </x:c>
      <x:c r="M873" s="16" t="str">
        <x:f>IF(OR(K873="",L873=""),"",L873-K873)</x:f>
      </x:c>
      <x:c r="N873" s="16" t="str">
        <x:f>IF(AND(A873=A872,ISNUMBER(K873),ISNUMBER(K872)),K873-K872,"")</x:f>
      </x:c>
      <x:c r="O873" s="13" t="str">
        <x:v>Sem informação</x:v>
      </x:c>
      <x:c r="P873" s="26"/>
      <x:c r="Q873" s="13" t="str"/>
      <x:c r="R873" s="13" t="str"/>
      <x:c r="S873" s="13" t="str"/>
      <x:c r="T873" s="13" t="str"/>
    </x:row>
    <x:row r="874">
      <x:c r="A874" s="13" t="str">
        <x:v>João Pedro</x:v>
      </x:c>
      <x:c r="B874" s="13" t="n">
        <x:v>2029</x:v>
      </x:c>
      <x:c r="C874" s="13" t="str">
        <x:v>T1</x:v>
      </x:c>
      <x:c r="D874" s="24" t="n">
        <x:v>47208</x:v>
      </x:c>
      <x:c r="E874" s="13" t="str">
        <x:v>Centroavante</x:v>
      </x:c>
      <x:c r="F874" s="13" t="str">
        <x:v>Chelsea FC</x:v>
      </x:c>
      <x:c r="G874" s="16"/>
      <x:c r="H874" s="16"/>
      <x:c r="I874" s="16"/>
      <x:c r="J874" s="16"/>
      <x:c r="K874" s="16" t="str">
        <x:f>IF(COUNT(G874,I874)=0,"",AVERAGE(G874,I874))</x:f>
      </x:c>
      <x:c r="L874" s="16" t="str">
        <x:f>IF(COUNT(H874,J874)=0,"",AVERAGE(H874,J874))</x:f>
      </x:c>
      <x:c r="M874" s="16" t="str">
        <x:f>IF(OR(K874="",L874=""),"",L874-K874)</x:f>
      </x:c>
      <x:c r="N874" s="16" t="str">
        <x:f>IF(AND(A874=A873,ISNUMBER(K874),ISNUMBER(K873)),K874-K873,"")</x:f>
      </x:c>
      <x:c r="O874" s="13" t="str">
        <x:v>Sem informação</x:v>
      </x:c>
      <x:c r="P874" s="26"/>
      <x:c r="Q874" s="13" t="str"/>
      <x:c r="R874" s="13" t="str"/>
      <x:c r="S874" s="13" t="str"/>
      <x:c r="T874" s="13" t="str"/>
    </x:row>
    <x:row r="875">
      <x:c r="A875" s="13" t="str">
        <x:v>João Pedro</x:v>
      </x:c>
      <x:c r="B875" s="13" t="n">
        <x:v>2029</x:v>
      </x:c>
      <x:c r="C875" s="13" t="str">
        <x:v>T2</x:v>
      </x:c>
      <x:c r="D875" s="24" t="n">
        <x:v>47299</x:v>
      </x:c>
      <x:c r="E875" s="13" t="str">
        <x:v>Centroavante</x:v>
      </x:c>
      <x:c r="F875" s="13" t="str">
        <x:v>Chelsea FC</x:v>
      </x:c>
      <x:c r="G875" s="16"/>
      <x:c r="H875" s="16"/>
      <x:c r="I875" s="16"/>
      <x:c r="J875" s="16"/>
      <x:c r="K875" s="16" t="str">
        <x:f>IF(COUNT(G875,I875)=0,"",AVERAGE(G875,I875))</x:f>
      </x:c>
      <x:c r="L875" s="16" t="str">
        <x:f>IF(COUNT(H875,J875)=0,"",AVERAGE(H875,J875))</x:f>
      </x:c>
      <x:c r="M875" s="16" t="str">
        <x:f>IF(OR(K875="",L875=""),"",L875-K875)</x:f>
      </x:c>
      <x:c r="N875" s="16" t="str">
        <x:f>IF(AND(A875=A874,ISNUMBER(K875),ISNUMBER(K874)),K875-K874,"")</x:f>
      </x:c>
      <x:c r="O875" s="13" t="str">
        <x:v>Sem informação</x:v>
      </x:c>
      <x:c r="P875" s="26"/>
      <x:c r="Q875" s="13" t="str"/>
      <x:c r="R875" s="13" t="str"/>
      <x:c r="S875" s="13" t="str"/>
      <x:c r="T875" s="13" t="str"/>
    </x:row>
    <x:row r="876">
      <x:c r="A876" s="13" t="str">
        <x:v>João Pedro</x:v>
      </x:c>
      <x:c r="B876" s="13" t="n">
        <x:v>2029</x:v>
      </x:c>
      <x:c r="C876" s="13" t="str">
        <x:v>T3</x:v>
      </x:c>
      <x:c r="D876" s="24" t="n">
        <x:v>47391</x:v>
      </x:c>
      <x:c r="E876" s="13" t="str">
        <x:v>Centroavante</x:v>
      </x:c>
      <x:c r="F876" s="13" t="str">
        <x:v>Chelsea FC</x:v>
      </x:c>
      <x:c r="G876" s="16"/>
      <x:c r="H876" s="16"/>
      <x:c r="I876" s="16"/>
      <x:c r="J876" s="16"/>
      <x:c r="K876" s="16" t="str">
        <x:f>IF(COUNT(G876,I876)=0,"",AVERAGE(G876,I876))</x:f>
      </x:c>
      <x:c r="L876" s="16" t="str">
        <x:f>IF(COUNT(H876,J876)=0,"",AVERAGE(H876,J876))</x:f>
      </x:c>
      <x:c r="M876" s="16" t="str">
        <x:f>IF(OR(K876="",L876=""),"",L876-K876)</x:f>
      </x:c>
      <x:c r="N876" s="16" t="str">
        <x:f>IF(AND(A876=A875,ISNUMBER(K876),ISNUMBER(K875)),K876-K875,"")</x:f>
      </x:c>
      <x:c r="O876" s="13" t="str">
        <x:v>Sem informação</x:v>
      </x:c>
      <x:c r="P876" s="26"/>
      <x:c r="Q876" s="13" t="str"/>
      <x:c r="R876" s="13" t="str"/>
      <x:c r="S876" s="13" t="str"/>
      <x:c r="T876" s="13" t="str"/>
    </x:row>
    <x:row r="877">
      <x:c r="A877" s="13" t="str">
        <x:v>João Pedro</x:v>
      </x:c>
      <x:c r="B877" s="13" t="n">
        <x:v>2029</x:v>
      </x:c>
      <x:c r="C877" s="13" t="str">
        <x:v>T4</x:v>
      </x:c>
      <x:c r="D877" s="24" t="n">
        <x:v>47483</x:v>
      </x:c>
      <x:c r="E877" s="13" t="str">
        <x:v>Centroavante</x:v>
      </x:c>
      <x:c r="F877" s="13" t="str">
        <x:v>Chelsea FC</x:v>
      </x:c>
      <x:c r="G877" s="16"/>
      <x:c r="H877" s="16"/>
      <x:c r="I877" s="16"/>
      <x:c r="J877" s="16"/>
      <x:c r="K877" s="16" t="str">
        <x:f>IF(COUNT(G877,I877)=0,"",AVERAGE(G877,I877))</x:f>
      </x:c>
      <x:c r="L877" s="16" t="str">
        <x:f>IF(COUNT(H877,J877)=0,"",AVERAGE(H877,J877))</x:f>
      </x:c>
      <x:c r="M877" s="16" t="str">
        <x:f>IF(OR(K877="",L877=""),"",L877-K877)</x:f>
      </x:c>
      <x:c r="N877" s="16" t="str">
        <x:f>IF(AND(A877=A876,ISNUMBER(K877),ISNUMBER(K876)),K877-K876,"")</x:f>
      </x:c>
      <x:c r="O877" s="13" t="str">
        <x:v>Sem informação</x:v>
      </x:c>
      <x:c r="P877" s="26"/>
      <x:c r="Q877" s="13" t="str"/>
      <x:c r="R877" s="13" t="str"/>
      <x:c r="S877" s="13" t="str"/>
      <x:c r="T877" s="13" t="str"/>
    </x:row>
    <x:row r="878">
      <x:c r="A878" s="13" t="str">
        <x:v>João Pedro</x:v>
      </x:c>
      <x:c r="B878" s="13" t="n">
        <x:v>2030</x:v>
      </x:c>
      <x:c r="C878" s="13" t="str">
        <x:v>T1</x:v>
      </x:c>
      <x:c r="D878" s="24" t="n">
        <x:v>47573</x:v>
      </x:c>
      <x:c r="E878" s="13" t="str">
        <x:v>Centroavante</x:v>
      </x:c>
      <x:c r="F878" s="13" t="str">
        <x:v>Chelsea FC</x:v>
      </x:c>
      <x:c r="G878" s="16"/>
      <x:c r="H878" s="16"/>
      <x:c r="I878" s="16"/>
      <x:c r="J878" s="16"/>
      <x:c r="K878" s="16" t="str">
        <x:f>IF(COUNT(G878,I878)=0,"",AVERAGE(G878,I878))</x:f>
      </x:c>
      <x:c r="L878" s="16" t="str">
        <x:f>IF(COUNT(H878,J878)=0,"",AVERAGE(H878,J878))</x:f>
      </x:c>
      <x:c r="M878" s="16" t="str">
        <x:f>IF(OR(K878="",L878=""),"",L878-K878)</x:f>
      </x:c>
      <x:c r="N878" s="16" t="str">
        <x:f>IF(AND(A878=A877,ISNUMBER(K878),ISNUMBER(K877)),K878-K877,"")</x:f>
      </x:c>
      <x:c r="O878" s="13" t="str">
        <x:v>Sem informação</x:v>
      </x:c>
      <x:c r="P878" s="26"/>
      <x:c r="Q878" s="13" t="str"/>
      <x:c r="R878" s="13" t="str"/>
      <x:c r="S878" s="13" t="str"/>
      <x:c r="T878" s="13" t="str"/>
    </x:row>
    <x:row r="879">
      <x:c r="A879" s="13" t="str">
        <x:v>João Pedro</x:v>
      </x:c>
      <x:c r="B879" s="13" t="n">
        <x:v>2030</x:v>
      </x:c>
      <x:c r="C879" s="13" t="str">
        <x:v>T2</x:v>
      </x:c>
      <x:c r="D879" s="24" t="n">
        <x:v>47664</x:v>
      </x:c>
      <x:c r="E879" s="13" t="str">
        <x:v>Centroavante</x:v>
      </x:c>
      <x:c r="F879" s="13" t="str">
        <x:v>Chelsea FC</x:v>
      </x:c>
      <x:c r="G879" s="16"/>
      <x:c r="H879" s="16"/>
      <x:c r="I879" s="16"/>
      <x:c r="J879" s="16"/>
      <x:c r="K879" s="16" t="str">
        <x:f>IF(COUNT(G879,I879)=0,"",AVERAGE(G879,I879))</x:f>
      </x:c>
      <x:c r="L879" s="16" t="str">
        <x:f>IF(COUNT(H879,J879)=0,"",AVERAGE(H879,J879))</x:f>
      </x:c>
      <x:c r="M879" s="16" t="str">
        <x:f>IF(OR(K879="",L879=""),"",L879-K879)</x:f>
      </x:c>
      <x:c r="N879" s="16" t="str">
        <x:f>IF(AND(A879=A878,ISNUMBER(K879),ISNUMBER(K878)),K879-K878,"")</x:f>
      </x:c>
      <x:c r="O879" s="13" t="str">
        <x:v>Sem informação</x:v>
      </x:c>
      <x:c r="P879" s="26"/>
      <x:c r="Q879" s="13" t="str"/>
      <x:c r="R879" s="13" t="str"/>
      <x:c r="S879" s="13" t="str"/>
      <x:c r="T879" s="13" t="str"/>
    </x:row>
    <x:row r="880">
      <x:c r="A880" s="13" t="str">
        <x:v>João Pedro</x:v>
      </x:c>
      <x:c r="B880" s="13" t="n">
        <x:v>2030</x:v>
      </x:c>
      <x:c r="C880" s="13" t="str">
        <x:v>T3</x:v>
      </x:c>
      <x:c r="D880" s="24" t="n">
        <x:v>47756</x:v>
      </x:c>
      <x:c r="E880" s="13" t="str">
        <x:v>Centroavante</x:v>
      </x:c>
      <x:c r="F880" s="13" t="str">
        <x:v>Chelsea FC</x:v>
      </x:c>
      <x:c r="G880" s="16"/>
      <x:c r="H880" s="16"/>
      <x:c r="I880" s="16"/>
      <x:c r="J880" s="16"/>
      <x:c r="K880" s="16" t="str">
        <x:f>IF(COUNT(G880,I880)=0,"",AVERAGE(G880,I880))</x:f>
      </x:c>
      <x:c r="L880" s="16" t="str">
        <x:f>IF(COUNT(H880,J880)=0,"",AVERAGE(H880,J880))</x:f>
      </x:c>
      <x:c r="M880" s="16" t="str">
        <x:f>IF(OR(K880="",L880=""),"",L880-K880)</x:f>
      </x:c>
      <x:c r="N880" s="16" t="str">
        <x:f>IF(AND(A880=A879,ISNUMBER(K880),ISNUMBER(K879)),K880-K879,"")</x:f>
      </x:c>
      <x:c r="O880" s="13" t="str">
        <x:v>Sem informação</x:v>
      </x:c>
      <x:c r="P880" s="26"/>
      <x:c r="Q880" s="13" t="str"/>
      <x:c r="R880" s="13" t="str"/>
      <x:c r="S880" s="13" t="str"/>
      <x:c r="T880" s="13" t="str"/>
    </x:row>
    <x:row r="881">
      <x:c r="A881" s="13" t="str">
        <x:v>João Pedro</x:v>
      </x:c>
      <x:c r="B881" s="13" t="n">
        <x:v>2030</x:v>
      </x:c>
      <x:c r="C881" s="13" t="str">
        <x:v>T4</x:v>
      </x:c>
      <x:c r="D881" s="24" t="n">
        <x:v>47848</x:v>
      </x:c>
      <x:c r="E881" s="13" t="str">
        <x:v>Centroavante</x:v>
      </x:c>
      <x:c r="F881" s="13" t="str">
        <x:v>Chelsea FC</x:v>
      </x:c>
      <x:c r="G881" s="16"/>
      <x:c r="H881" s="16"/>
      <x:c r="I881" s="16"/>
      <x:c r="J881" s="16"/>
      <x:c r="K881" s="16" t="str">
        <x:f>IF(COUNT(G881,I881)=0,"",AVERAGE(G881,I881))</x:f>
      </x:c>
      <x:c r="L881" s="16" t="str">
        <x:f>IF(COUNT(H881,J881)=0,"",AVERAGE(H881,J881))</x:f>
      </x:c>
      <x:c r="M881" s="16" t="str">
        <x:f>IF(OR(K881="",L881=""),"",L881-K881)</x:f>
      </x:c>
      <x:c r="N881" s="16" t="str">
        <x:f>IF(AND(A881=A880,ISNUMBER(K881),ISNUMBER(K880)),K881-K880,"")</x:f>
      </x:c>
      <x:c r="O881" s="13" t="str">
        <x:v>Sem informação</x:v>
      </x:c>
      <x:c r="P881" s="26"/>
      <x:c r="Q881" s="13" t="str"/>
      <x:c r="R881" s="13" t="str"/>
      <x:c r="S881" s="13" t="str"/>
      <x:c r="T881" s="13" t="str"/>
    </x:row>
    <x:row r="882">
      <x:c r="A882" s="13" t="str">
        <x:v>João Victor</x:v>
      </x:c>
      <x:c r="B882" s="13" t="n">
        <x:v>2026</x:v>
      </x:c>
      <x:c r="C882" s="13" t="str">
        <x:v>T1</x:v>
      </x:c>
      <x:c r="D882" s="24" t="n">
        <x:v>46112</x:v>
      </x:c>
      <x:c r="E882" s="13" t="str">
        <x:v>Lateral-esquerdo</x:v>
      </x:c>
      <x:c r="F882" s="13" t="str">
        <x:v>Tottenham Hotspur</x:v>
      </x:c>
      <x:c r="G882" s="16"/>
      <x:c r="H882" s="16"/>
      <x:c r="I882" s="16"/>
      <x:c r="J882" s="16"/>
      <x:c r="K882" s="16" t="str">
        <x:f>IF(COUNT(G882,I882)=0,"",AVERAGE(G882,I882))</x:f>
      </x:c>
      <x:c r="L882" s="16" t="str">
        <x:f>IF(COUNT(H882,J882)=0,"",AVERAGE(H882,J882))</x:f>
      </x:c>
      <x:c r="M882" s="16" t="str">
        <x:f>IF(OR(K882="",L882=""),"",L882-K882)</x:f>
      </x:c>
      <x:c r="N882" s="16" t="str">
        <x:f>""</x:f>
      </x:c>
      <x:c r="O882" s="13" t="str">
        <x:v>Sem informação</x:v>
      </x:c>
      <x:c r="P882" s="26"/>
      <x:c r="Q882" s="13" t="str"/>
      <x:c r="R882" s="13" t="str"/>
      <x:c r="S882" s="13" t="str"/>
      <x:c r="T882" s="13" t="str"/>
    </x:row>
    <x:row r="883">
      <x:c r="A883" s="13" t="str">
        <x:v>João Victor</x:v>
      </x:c>
      <x:c r="B883" s="13" t="n">
        <x:v>2026</x:v>
      </x:c>
      <x:c r="C883" s="13" t="str">
        <x:v>T2</x:v>
      </x:c>
      <x:c r="D883" s="24" t="n">
        <x:v>46203</x:v>
      </x:c>
      <x:c r="E883" s="13" t="str">
        <x:v>Lateral-esquerdo</x:v>
      </x:c>
      <x:c r="F883" s="13" t="str">
        <x:v>Tottenham Hotspur</x:v>
      </x:c>
      <x:c r="G883" s="16"/>
      <x:c r="H883" s="16"/>
      <x:c r="I883" s="16"/>
      <x:c r="J883" s="16"/>
      <x:c r="K883" s="16" t="str">
        <x:f>IF(COUNT(G883,I883)=0,"",AVERAGE(G883,I883))</x:f>
      </x:c>
      <x:c r="L883" s="16" t="str">
        <x:f>IF(COUNT(H883,J883)=0,"",AVERAGE(H883,J883))</x:f>
      </x:c>
      <x:c r="M883" s="16" t="str">
        <x:f>IF(OR(K883="",L883=""),"",L883-K883)</x:f>
      </x:c>
      <x:c r="N883" s="16" t="str">
        <x:f>IF(AND(A883=A882,ISNUMBER(K883),ISNUMBER(K882)),K883-K882,"")</x:f>
      </x:c>
      <x:c r="O883" s="13" t="str">
        <x:v>Sem informação</x:v>
      </x:c>
      <x:c r="P883" s="26"/>
      <x:c r="Q883" s="13" t="str"/>
      <x:c r="R883" s="13" t="str"/>
      <x:c r="S883" s="13" t="str"/>
      <x:c r="T883" s="13" t="str"/>
    </x:row>
    <x:row r="884">
      <x:c r="A884" s="13" t="str">
        <x:v>João Victor</x:v>
      </x:c>
      <x:c r="B884" s="13" t="n">
        <x:v>2026</x:v>
      </x:c>
      <x:c r="C884" s="13" t="str">
        <x:v>T3</x:v>
      </x:c>
      <x:c r="D884" s="24" t="n">
        <x:v>46295</x:v>
      </x:c>
      <x:c r="E884" s="13" t="str">
        <x:v>Lateral-esquerdo</x:v>
      </x:c>
      <x:c r="F884" s="13" t="str">
        <x:v>Tottenham Hotspur</x:v>
      </x:c>
      <x:c r="G884" s="16"/>
      <x:c r="H884" s="16"/>
      <x:c r="I884" s="16"/>
      <x:c r="J884" s="16"/>
      <x:c r="K884" s="16" t="str">
        <x:f>IF(COUNT(G884,I884)=0,"",AVERAGE(G884,I884))</x:f>
      </x:c>
      <x:c r="L884" s="16" t="str">
        <x:f>IF(COUNT(H884,J884)=0,"",AVERAGE(H884,J884))</x:f>
      </x:c>
      <x:c r="M884" s="16" t="str">
        <x:f>IF(OR(K884="",L884=""),"",L884-K884)</x:f>
      </x:c>
      <x:c r="N884" s="16" t="str">
        <x:f>IF(AND(A884=A883,ISNUMBER(K884),ISNUMBER(K883)),K884-K883,"")</x:f>
      </x:c>
      <x:c r="O884" s="13" t="str">
        <x:v>Sem informação</x:v>
      </x:c>
      <x:c r="P884" s="26"/>
      <x:c r="Q884" s="13" t="str"/>
      <x:c r="R884" s="13" t="str"/>
      <x:c r="S884" s="13" t="str"/>
      <x:c r="T884" s="13" t="str"/>
    </x:row>
    <x:row r="885">
      <x:c r="A885" s="13" t="str">
        <x:v>João Victor</x:v>
      </x:c>
      <x:c r="B885" s="13" t="n">
        <x:v>2026</x:v>
      </x:c>
      <x:c r="C885" s="13" t="str">
        <x:v>T4</x:v>
      </x:c>
      <x:c r="D885" s="24" t="n">
        <x:v>46387</x:v>
      </x:c>
      <x:c r="E885" s="13" t="str">
        <x:v>Lateral-esquerdo</x:v>
      </x:c>
      <x:c r="F885" s="13" t="str">
        <x:v>Tottenham Hotspur</x:v>
      </x:c>
      <x:c r="G885" s="16"/>
      <x:c r="H885" s="16"/>
      <x:c r="I885" s="16"/>
      <x:c r="J885" s="16"/>
      <x:c r="K885" s="16" t="str">
        <x:f>IF(COUNT(G885,I885)=0,"",AVERAGE(G885,I885))</x:f>
      </x:c>
      <x:c r="L885" s="16" t="str">
        <x:f>IF(COUNT(H885,J885)=0,"",AVERAGE(H885,J885))</x:f>
      </x:c>
      <x:c r="M885" s="16" t="str">
        <x:f>IF(OR(K885="",L885=""),"",L885-K885)</x:f>
      </x:c>
      <x:c r="N885" s="16" t="str">
        <x:f>IF(AND(A885=A884,ISNUMBER(K885),ISNUMBER(K884)),K885-K884,"")</x:f>
      </x:c>
      <x:c r="O885" s="13" t="str">
        <x:v>Sem informação</x:v>
      </x:c>
      <x:c r="P885" s="26"/>
      <x:c r="Q885" s="13" t="str"/>
      <x:c r="R885" s="13" t="str"/>
      <x:c r="S885" s="13" t="str"/>
      <x:c r="T885" s="13" t="str"/>
    </x:row>
    <x:row r="886">
      <x:c r="A886" s="13" t="str">
        <x:v>João Victor</x:v>
      </x:c>
      <x:c r="B886" s="13" t="n">
        <x:v>2027</x:v>
      </x:c>
      <x:c r="C886" s="13" t="str">
        <x:v>T1</x:v>
      </x:c>
      <x:c r="D886" s="24" t="n">
        <x:v>46477</x:v>
      </x:c>
      <x:c r="E886" s="13" t="str">
        <x:v>Lateral-esquerdo</x:v>
      </x:c>
      <x:c r="F886" s="13" t="str">
        <x:v>Tottenham Hotspur</x:v>
      </x:c>
      <x:c r="G886" s="16"/>
      <x:c r="H886" s="16"/>
      <x:c r="I886" s="16"/>
      <x:c r="J886" s="16"/>
      <x:c r="K886" s="16" t="str">
        <x:f>IF(COUNT(G886,I886)=0,"",AVERAGE(G886,I886))</x:f>
      </x:c>
      <x:c r="L886" s="16" t="str">
        <x:f>IF(COUNT(H886,J886)=0,"",AVERAGE(H886,J886))</x:f>
      </x:c>
      <x:c r="M886" s="16" t="str">
        <x:f>IF(OR(K886="",L886=""),"",L886-K886)</x:f>
      </x:c>
      <x:c r="N886" s="16" t="str">
        <x:f>IF(AND(A886=A885,ISNUMBER(K886),ISNUMBER(K885)),K886-K885,"")</x:f>
      </x:c>
      <x:c r="O886" s="13" t="str">
        <x:v>Sem informação</x:v>
      </x:c>
      <x:c r="P886" s="26"/>
      <x:c r="Q886" s="13" t="str"/>
      <x:c r="R886" s="13" t="str"/>
      <x:c r="S886" s="13" t="str"/>
      <x:c r="T886" s="13" t="str"/>
    </x:row>
    <x:row r="887">
      <x:c r="A887" s="13" t="str">
        <x:v>João Victor</x:v>
      </x:c>
      <x:c r="B887" s="13" t="n">
        <x:v>2027</x:v>
      </x:c>
      <x:c r="C887" s="13" t="str">
        <x:v>T2</x:v>
      </x:c>
      <x:c r="D887" s="24" t="n">
        <x:v>46568</x:v>
      </x:c>
      <x:c r="E887" s="13" t="str">
        <x:v>Lateral-esquerdo</x:v>
      </x:c>
      <x:c r="F887" s="13" t="str">
        <x:v>Tottenham Hotspur</x:v>
      </x:c>
      <x:c r="G887" s="16"/>
      <x:c r="H887" s="16"/>
      <x:c r="I887" s="16"/>
      <x:c r="J887" s="16"/>
      <x:c r="K887" s="16" t="str">
        <x:f>IF(COUNT(G887,I887)=0,"",AVERAGE(G887,I887))</x:f>
      </x:c>
      <x:c r="L887" s="16" t="str">
        <x:f>IF(COUNT(H887,J887)=0,"",AVERAGE(H887,J887))</x:f>
      </x:c>
      <x:c r="M887" s="16" t="str">
        <x:f>IF(OR(K887="",L887=""),"",L887-K887)</x:f>
      </x:c>
      <x:c r="N887" s="16" t="str">
        <x:f>IF(AND(A887=A886,ISNUMBER(K887),ISNUMBER(K886)),K887-K886,"")</x:f>
      </x:c>
      <x:c r="O887" s="13" t="str">
        <x:v>Sem informação</x:v>
      </x:c>
      <x:c r="P887" s="26"/>
      <x:c r="Q887" s="13" t="str"/>
      <x:c r="R887" s="13" t="str"/>
      <x:c r="S887" s="13" t="str"/>
      <x:c r="T887" s="13" t="str"/>
    </x:row>
    <x:row r="888">
      <x:c r="A888" s="13" t="str">
        <x:v>João Victor</x:v>
      </x:c>
      <x:c r="B888" s="13" t="n">
        <x:v>2027</x:v>
      </x:c>
      <x:c r="C888" s="13" t="str">
        <x:v>T3</x:v>
      </x:c>
      <x:c r="D888" s="24" t="n">
        <x:v>46660</x:v>
      </x:c>
      <x:c r="E888" s="13" t="str">
        <x:v>Lateral-esquerdo</x:v>
      </x:c>
      <x:c r="F888" s="13" t="str">
        <x:v>Tottenham Hotspur</x:v>
      </x:c>
      <x:c r="G888" s="16"/>
      <x:c r="H888" s="16"/>
      <x:c r="I888" s="16"/>
      <x:c r="J888" s="16"/>
      <x:c r="K888" s="16" t="str">
        <x:f>IF(COUNT(G888,I888)=0,"",AVERAGE(G888,I888))</x:f>
      </x:c>
      <x:c r="L888" s="16" t="str">
        <x:f>IF(COUNT(H888,J888)=0,"",AVERAGE(H888,J888))</x:f>
      </x:c>
      <x:c r="M888" s="16" t="str">
        <x:f>IF(OR(K888="",L888=""),"",L888-K888)</x:f>
      </x:c>
      <x:c r="N888" s="16" t="str">
        <x:f>IF(AND(A888=A887,ISNUMBER(K888),ISNUMBER(K887)),K888-K887,"")</x:f>
      </x:c>
      <x:c r="O888" s="13" t="str">
        <x:v>Sem informação</x:v>
      </x:c>
      <x:c r="P888" s="26"/>
      <x:c r="Q888" s="13" t="str"/>
      <x:c r="R888" s="13" t="str"/>
      <x:c r="S888" s="13" t="str"/>
      <x:c r="T888" s="13" t="str"/>
    </x:row>
    <x:row r="889">
      <x:c r="A889" s="13" t="str">
        <x:v>João Victor</x:v>
      </x:c>
      <x:c r="B889" s="13" t="n">
        <x:v>2027</x:v>
      </x:c>
      <x:c r="C889" s="13" t="str">
        <x:v>T4</x:v>
      </x:c>
      <x:c r="D889" s="24" t="n">
        <x:v>46752</x:v>
      </x:c>
      <x:c r="E889" s="13" t="str">
        <x:v>Lateral-esquerdo</x:v>
      </x:c>
      <x:c r="F889" s="13" t="str">
        <x:v>Tottenham Hotspur</x:v>
      </x:c>
      <x:c r="G889" s="16"/>
      <x:c r="H889" s="16"/>
      <x:c r="I889" s="16"/>
      <x:c r="J889" s="16"/>
      <x:c r="K889" s="16" t="str">
        <x:f>IF(COUNT(G889,I889)=0,"",AVERAGE(G889,I889))</x:f>
      </x:c>
      <x:c r="L889" s="16" t="str">
        <x:f>IF(COUNT(H889,J889)=0,"",AVERAGE(H889,J889))</x:f>
      </x:c>
      <x:c r="M889" s="16" t="str">
        <x:f>IF(OR(K889="",L889=""),"",L889-K889)</x:f>
      </x:c>
      <x:c r="N889" s="16" t="str">
        <x:f>IF(AND(A889=A888,ISNUMBER(K889),ISNUMBER(K888)),K889-K888,"")</x:f>
      </x:c>
      <x:c r="O889" s="13" t="str">
        <x:v>Sem informação</x:v>
      </x:c>
      <x:c r="P889" s="26"/>
      <x:c r="Q889" s="13" t="str"/>
      <x:c r="R889" s="13" t="str"/>
      <x:c r="S889" s="13" t="str"/>
      <x:c r="T889" s="13" t="str"/>
    </x:row>
    <x:row r="890">
      <x:c r="A890" s="13" t="str">
        <x:v>João Victor</x:v>
      </x:c>
      <x:c r="B890" s="13" t="n">
        <x:v>2028</x:v>
      </x:c>
      <x:c r="C890" s="13" t="str">
        <x:v>T1</x:v>
      </x:c>
      <x:c r="D890" s="24" t="n">
        <x:v>46843</x:v>
      </x:c>
      <x:c r="E890" s="13" t="str">
        <x:v>Lateral-esquerdo</x:v>
      </x:c>
      <x:c r="F890" s="13" t="str">
        <x:v>Tottenham Hotspur</x:v>
      </x:c>
      <x:c r="G890" s="16"/>
      <x:c r="H890" s="16"/>
      <x:c r="I890" s="16"/>
      <x:c r="J890" s="16"/>
      <x:c r="K890" s="16" t="str">
        <x:f>IF(COUNT(G890,I890)=0,"",AVERAGE(G890,I890))</x:f>
      </x:c>
      <x:c r="L890" s="16" t="str">
        <x:f>IF(COUNT(H890,J890)=0,"",AVERAGE(H890,J890))</x:f>
      </x:c>
      <x:c r="M890" s="16" t="str">
        <x:f>IF(OR(K890="",L890=""),"",L890-K890)</x:f>
      </x:c>
      <x:c r="N890" s="16" t="str">
        <x:f>IF(AND(A890=A889,ISNUMBER(K890),ISNUMBER(K889)),K890-K889,"")</x:f>
      </x:c>
      <x:c r="O890" s="13" t="str">
        <x:v>Sem informação</x:v>
      </x:c>
      <x:c r="P890" s="26"/>
      <x:c r="Q890" s="13" t="str"/>
      <x:c r="R890" s="13" t="str"/>
      <x:c r="S890" s="13" t="str"/>
      <x:c r="T890" s="13" t="str"/>
    </x:row>
    <x:row r="891">
      <x:c r="A891" s="13" t="str">
        <x:v>João Victor</x:v>
      </x:c>
      <x:c r="B891" s="13" t="n">
        <x:v>2028</x:v>
      </x:c>
      <x:c r="C891" s="13" t="str">
        <x:v>T2</x:v>
      </x:c>
      <x:c r="D891" s="24" t="n">
        <x:v>46934</x:v>
      </x:c>
      <x:c r="E891" s="13" t="str">
        <x:v>Lateral-esquerdo</x:v>
      </x:c>
      <x:c r="F891" s="13" t="str">
        <x:v>Tottenham Hotspur</x:v>
      </x:c>
      <x:c r="G891" s="16"/>
      <x:c r="H891" s="16"/>
      <x:c r="I891" s="16"/>
      <x:c r="J891" s="16"/>
      <x:c r="K891" s="16" t="str">
        <x:f>IF(COUNT(G891,I891)=0,"",AVERAGE(G891,I891))</x:f>
      </x:c>
      <x:c r="L891" s="16" t="str">
        <x:f>IF(COUNT(H891,J891)=0,"",AVERAGE(H891,J891))</x:f>
      </x:c>
      <x:c r="M891" s="16" t="str">
        <x:f>IF(OR(K891="",L891=""),"",L891-K891)</x:f>
      </x:c>
      <x:c r="N891" s="16" t="str">
        <x:f>IF(AND(A891=A890,ISNUMBER(K891),ISNUMBER(K890)),K891-K890,"")</x:f>
      </x:c>
      <x:c r="O891" s="13" t="str">
        <x:v>Sem informação</x:v>
      </x:c>
      <x:c r="P891" s="26"/>
      <x:c r="Q891" s="13" t="str"/>
      <x:c r="R891" s="13" t="str"/>
      <x:c r="S891" s="13" t="str"/>
      <x:c r="T891" s="13" t="str"/>
    </x:row>
    <x:row r="892">
      <x:c r="A892" s="13" t="str">
        <x:v>João Victor</x:v>
      </x:c>
      <x:c r="B892" s="13" t="n">
        <x:v>2028</x:v>
      </x:c>
      <x:c r="C892" s="13" t="str">
        <x:v>T3</x:v>
      </x:c>
      <x:c r="D892" s="24" t="n">
        <x:v>47026</x:v>
      </x:c>
      <x:c r="E892" s="13" t="str">
        <x:v>Lateral-esquerdo</x:v>
      </x:c>
      <x:c r="F892" s="13" t="str">
        <x:v>Tottenham Hotspur</x:v>
      </x:c>
      <x:c r="G892" s="16"/>
      <x:c r="H892" s="16"/>
      <x:c r="I892" s="16"/>
      <x:c r="J892" s="16"/>
      <x:c r="K892" s="16" t="str">
        <x:f>IF(COUNT(G892,I892)=0,"",AVERAGE(G892,I892))</x:f>
      </x:c>
      <x:c r="L892" s="16" t="str">
        <x:f>IF(COUNT(H892,J892)=0,"",AVERAGE(H892,J892))</x:f>
      </x:c>
      <x:c r="M892" s="16" t="str">
        <x:f>IF(OR(K892="",L892=""),"",L892-K892)</x:f>
      </x:c>
      <x:c r="N892" s="16" t="str">
        <x:f>IF(AND(A892=A891,ISNUMBER(K892),ISNUMBER(K891)),K892-K891,"")</x:f>
      </x:c>
      <x:c r="O892" s="13" t="str">
        <x:v>Sem informação</x:v>
      </x:c>
      <x:c r="P892" s="26"/>
      <x:c r="Q892" s="13" t="str"/>
      <x:c r="R892" s="13" t="str"/>
      <x:c r="S892" s="13" t="str"/>
      <x:c r="T892" s="13" t="str"/>
    </x:row>
    <x:row r="893">
      <x:c r="A893" s="13" t="str">
        <x:v>João Victor</x:v>
      </x:c>
      <x:c r="B893" s="13" t="n">
        <x:v>2028</x:v>
      </x:c>
      <x:c r="C893" s="13" t="str">
        <x:v>T4</x:v>
      </x:c>
      <x:c r="D893" s="24" t="n">
        <x:v>47118</x:v>
      </x:c>
      <x:c r="E893" s="13" t="str">
        <x:v>Lateral-esquerdo</x:v>
      </x:c>
      <x:c r="F893" s="13" t="str">
        <x:v>Tottenham Hotspur</x:v>
      </x:c>
      <x:c r="G893" s="16"/>
      <x:c r="H893" s="16"/>
      <x:c r="I893" s="16"/>
      <x:c r="J893" s="16"/>
      <x:c r="K893" s="16" t="str">
        <x:f>IF(COUNT(G893,I893)=0,"",AVERAGE(G893,I893))</x:f>
      </x:c>
      <x:c r="L893" s="16" t="str">
        <x:f>IF(COUNT(H893,J893)=0,"",AVERAGE(H893,J893))</x:f>
      </x:c>
      <x:c r="M893" s="16" t="str">
        <x:f>IF(OR(K893="",L893=""),"",L893-K893)</x:f>
      </x:c>
      <x:c r="N893" s="16" t="str">
        <x:f>IF(AND(A893=A892,ISNUMBER(K893),ISNUMBER(K892)),K893-K892,"")</x:f>
      </x:c>
      <x:c r="O893" s="13" t="str">
        <x:v>Sem informação</x:v>
      </x:c>
      <x:c r="P893" s="26"/>
      <x:c r="Q893" s="13" t="str"/>
      <x:c r="R893" s="13" t="str"/>
      <x:c r="S893" s="13" t="str"/>
      <x:c r="T893" s="13" t="str"/>
    </x:row>
    <x:row r="894">
      <x:c r="A894" s="13" t="str">
        <x:v>João Victor</x:v>
      </x:c>
      <x:c r="B894" s="13" t="n">
        <x:v>2029</x:v>
      </x:c>
      <x:c r="C894" s="13" t="str">
        <x:v>T1</x:v>
      </x:c>
      <x:c r="D894" s="24" t="n">
        <x:v>47208</x:v>
      </x:c>
      <x:c r="E894" s="13" t="str">
        <x:v>Lateral-esquerdo</x:v>
      </x:c>
      <x:c r="F894" s="13" t="str">
        <x:v>Tottenham Hotspur</x:v>
      </x:c>
      <x:c r="G894" s="16"/>
      <x:c r="H894" s="16"/>
      <x:c r="I894" s="16"/>
      <x:c r="J894" s="16"/>
      <x:c r="K894" s="16" t="str">
        <x:f>IF(COUNT(G894,I894)=0,"",AVERAGE(G894,I894))</x:f>
      </x:c>
      <x:c r="L894" s="16" t="str">
        <x:f>IF(COUNT(H894,J894)=0,"",AVERAGE(H894,J894))</x:f>
      </x:c>
      <x:c r="M894" s="16" t="str">
        <x:f>IF(OR(K894="",L894=""),"",L894-K894)</x:f>
      </x:c>
      <x:c r="N894" s="16" t="str">
        <x:f>IF(AND(A894=A893,ISNUMBER(K894),ISNUMBER(K893)),K894-K893,"")</x:f>
      </x:c>
      <x:c r="O894" s="13" t="str">
        <x:v>Sem informação</x:v>
      </x:c>
      <x:c r="P894" s="26"/>
      <x:c r="Q894" s="13" t="str"/>
      <x:c r="R894" s="13" t="str"/>
      <x:c r="S894" s="13" t="str"/>
      <x:c r="T894" s="13" t="str"/>
    </x:row>
    <x:row r="895">
      <x:c r="A895" s="13" t="str">
        <x:v>João Victor</x:v>
      </x:c>
      <x:c r="B895" s="13" t="n">
        <x:v>2029</x:v>
      </x:c>
      <x:c r="C895" s="13" t="str">
        <x:v>T2</x:v>
      </x:c>
      <x:c r="D895" s="24" t="n">
        <x:v>47299</x:v>
      </x:c>
      <x:c r="E895" s="13" t="str">
        <x:v>Lateral-esquerdo</x:v>
      </x:c>
      <x:c r="F895" s="13" t="str">
        <x:v>Tottenham Hotspur</x:v>
      </x:c>
      <x:c r="G895" s="16"/>
      <x:c r="H895" s="16"/>
      <x:c r="I895" s="16"/>
      <x:c r="J895" s="16"/>
      <x:c r="K895" s="16" t="str">
        <x:f>IF(COUNT(G895,I895)=0,"",AVERAGE(G895,I895))</x:f>
      </x:c>
      <x:c r="L895" s="16" t="str">
        <x:f>IF(COUNT(H895,J895)=0,"",AVERAGE(H895,J895))</x:f>
      </x:c>
      <x:c r="M895" s="16" t="str">
        <x:f>IF(OR(K895="",L895=""),"",L895-K895)</x:f>
      </x:c>
      <x:c r="N895" s="16" t="str">
        <x:f>IF(AND(A895=A894,ISNUMBER(K895),ISNUMBER(K894)),K895-K894,"")</x:f>
      </x:c>
      <x:c r="O895" s="13" t="str">
        <x:v>Sem informação</x:v>
      </x:c>
      <x:c r="P895" s="26"/>
      <x:c r="Q895" s="13" t="str"/>
      <x:c r="R895" s="13" t="str"/>
      <x:c r="S895" s="13" t="str"/>
      <x:c r="T895" s="13" t="str"/>
    </x:row>
    <x:row r="896">
      <x:c r="A896" s="13" t="str">
        <x:v>João Victor</x:v>
      </x:c>
      <x:c r="B896" s="13" t="n">
        <x:v>2029</x:v>
      </x:c>
      <x:c r="C896" s="13" t="str">
        <x:v>T3</x:v>
      </x:c>
      <x:c r="D896" s="24" t="n">
        <x:v>47391</x:v>
      </x:c>
      <x:c r="E896" s="13" t="str">
        <x:v>Lateral-esquerdo</x:v>
      </x:c>
      <x:c r="F896" s="13" t="str">
        <x:v>Tottenham Hotspur</x:v>
      </x:c>
      <x:c r="G896" s="16"/>
      <x:c r="H896" s="16"/>
      <x:c r="I896" s="16"/>
      <x:c r="J896" s="16"/>
      <x:c r="K896" s="16" t="str">
        <x:f>IF(COUNT(G896,I896)=0,"",AVERAGE(G896,I896))</x:f>
      </x:c>
      <x:c r="L896" s="16" t="str">
        <x:f>IF(COUNT(H896,J896)=0,"",AVERAGE(H896,J896))</x:f>
      </x:c>
      <x:c r="M896" s="16" t="str">
        <x:f>IF(OR(K896="",L896=""),"",L896-K896)</x:f>
      </x:c>
      <x:c r="N896" s="16" t="str">
        <x:f>IF(AND(A896=A895,ISNUMBER(K896),ISNUMBER(K895)),K896-K895,"")</x:f>
      </x:c>
      <x:c r="O896" s="13" t="str">
        <x:v>Sem informação</x:v>
      </x:c>
      <x:c r="P896" s="26"/>
      <x:c r="Q896" s="13" t="str"/>
      <x:c r="R896" s="13" t="str"/>
      <x:c r="S896" s="13" t="str"/>
      <x:c r="T896" s="13" t="str"/>
    </x:row>
    <x:row r="897">
      <x:c r="A897" s="13" t="str">
        <x:v>João Victor</x:v>
      </x:c>
      <x:c r="B897" s="13" t="n">
        <x:v>2029</x:v>
      </x:c>
      <x:c r="C897" s="13" t="str">
        <x:v>T4</x:v>
      </x:c>
      <x:c r="D897" s="24" t="n">
        <x:v>47483</x:v>
      </x:c>
      <x:c r="E897" s="13" t="str">
        <x:v>Lateral-esquerdo</x:v>
      </x:c>
      <x:c r="F897" s="13" t="str">
        <x:v>Tottenham Hotspur</x:v>
      </x:c>
      <x:c r="G897" s="16"/>
      <x:c r="H897" s="16"/>
      <x:c r="I897" s="16"/>
      <x:c r="J897" s="16"/>
      <x:c r="K897" s="16" t="str">
        <x:f>IF(COUNT(G897,I897)=0,"",AVERAGE(G897,I897))</x:f>
      </x:c>
      <x:c r="L897" s="16" t="str">
        <x:f>IF(COUNT(H897,J897)=0,"",AVERAGE(H897,J897))</x:f>
      </x:c>
      <x:c r="M897" s="16" t="str">
        <x:f>IF(OR(K897="",L897=""),"",L897-K897)</x:f>
      </x:c>
      <x:c r="N897" s="16" t="str">
        <x:f>IF(AND(A897=A896,ISNUMBER(K897),ISNUMBER(K896)),K897-K896,"")</x:f>
      </x:c>
      <x:c r="O897" s="13" t="str">
        <x:v>Sem informação</x:v>
      </x:c>
      <x:c r="P897" s="26"/>
      <x:c r="Q897" s="13" t="str"/>
      <x:c r="R897" s="13" t="str"/>
      <x:c r="S897" s="13" t="str"/>
      <x:c r="T897" s="13" t="str"/>
    </x:row>
    <x:row r="898">
      <x:c r="A898" s="13" t="str">
        <x:v>João Victor</x:v>
      </x:c>
      <x:c r="B898" s="13" t="n">
        <x:v>2030</x:v>
      </x:c>
      <x:c r="C898" s="13" t="str">
        <x:v>T1</x:v>
      </x:c>
      <x:c r="D898" s="24" t="n">
        <x:v>47573</x:v>
      </x:c>
      <x:c r="E898" s="13" t="str">
        <x:v>Lateral-esquerdo</x:v>
      </x:c>
      <x:c r="F898" s="13" t="str">
        <x:v>Tottenham Hotspur</x:v>
      </x:c>
      <x:c r="G898" s="16"/>
      <x:c r="H898" s="16"/>
      <x:c r="I898" s="16"/>
      <x:c r="J898" s="16"/>
      <x:c r="K898" s="16" t="str">
        <x:f>IF(COUNT(G898,I898)=0,"",AVERAGE(G898,I898))</x:f>
      </x:c>
      <x:c r="L898" s="16" t="str">
        <x:f>IF(COUNT(H898,J898)=0,"",AVERAGE(H898,J898))</x:f>
      </x:c>
      <x:c r="M898" s="16" t="str">
        <x:f>IF(OR(K898="",L898=""),"",L898-K898)</x:f>
      </x:c>
      <x:c r="N898" s="16" t="str">
        <x:f>IF(AND(A898=A897,ISNUMBER(K898),ISNUMBER(K897)),K898-K897,"")</x:f>
      </x:c>
      <x:c r="O898" s="13" t="str">
        <x:v>Sem informação</x:v>
      </x:c>
      <x:c r="P898" s="26"/>
      <x:c r="Q898" s="13" t="str"/>
      <x:c r="R898" s="13" t="str"/>
      <x:c r="S898" s="13" t="str"/>
      <x:c r="T898" s="13" t="str"/>
    </x:row>
    <x:row r="899">
      <x:c r="A899" s="13" t="str">
        <x:v>João Victor</x:v>
      </x:c>
      <x:c r="B899" s="13" t="n">
        <x:v>2030</x:v>
      </x:c>
      <x:c r="C899" s="13" t="str">
        <x:v>T2</x:v>
      </x:c>
      <x:c r="D899" s="24" t="n">
        <x:v>47664</x:v>
      </x:c>
      <x:c r="E899" s="13" t="str">
        <x:v>Lateral-esquerdo</x:v>
      </x:c>
      <x:c r="F899" s="13" t="str">
        <x:v>Tottenham Hotspur</x:v>
      </x:c>
      <x:c r="G899" s="16"/>
      <x:c r="H899" s="16"/>
      <x:c r="I899" s="16"/>
      <x:c r="J899" s="16"/>
      <x:c r="K899" s="16" t="str">
        <x:f>IF(COUNT(G899,I899)=0,"",AVERAGE(G899,I899))</x:f>
      </x:c>
      <x:c r="L899" s="16" t="str">
        <x:f>IF(COUNT(H899,J899)=0,"",AVERAGE(H899,J899))</x:f>
      </x:c>
      <x:c r="M899" s="16" t="str">
        <x:f>IF(OR(K899="",L899=""),"",L899-K899)</x:f>
      </x:c>
      <x:c r="N899" s="16" t="str">
        <x:f>IF(AND(A899=A898,ISNUMBER(K899),ISNUMBER(K898)),K899-K898,"")</x:f>
      </x:c>
      <x:c r="O899" s="13" t="str">
        <x:v>Sem informação</x:v>
      </x:c>
      <x:c r="P899" s="26"/>
      <x:c r="Q899" s="13" t="str"/>
      <x:c r="R899" s="13" t="str"/>
      <x:c r="S899" s="13" t="str"/>
      <x:c r="T899" s="13" t="str"/>
    </x:row>
    <x:row r="900">
      <x:c r="A900" s="13" t="str">
        <x:v>João Victor</x:v>
      </x:c>
      <x:c r="B900" s="13" t="n">
        <x:v>2030</x:v>
      </x:c>
      <x:c r="C900" s="13" t="str">
        <x:v>T3</x:v>
      </x:c>
      <x:c r="D900" s="24" t="n">
        <x:v>47756</x:v>
      </x:c>
      <x:c r="E900" s="13" t="str">
        <x:v>Lateral-esquerdo</x:v>
      </x:c>
      <x:c r="F900" s="13" t="str">
        <x:v>Tottenham Hotspur</x:v>
      </x:c>
      <x:c r="G900" s="16"/>
      <x:c r="H900" s="16"/>
      <x:c r="I900" s="16"/>
      <x:c r="J900" s="16"/>
      <x:c r="K900" s="16" t="str">
        <x:f>IF(COUNT(G900,I900)=0,"",AVERAGE(G900,I900))</x:f>
      </x:c>
      <x:c r="L900" s="16" t="str">
        <x:f>IF(COUNT(H900,J900)=0,"",AVERAGE(H900,J900))</x:f>
      </x:c>
      <x:c r="M900" s="16" t="str">
        <x:f>IF(OR(K900="",L900=""),"",L900-K900)</x:f>
      </x:c>
      <x:c r="N900" s="16" t="str">
        <x:f>IF(AND(A900=A899,ISNUMBER(K900),ISNUMBER(K899)),K900-K899,"")</x:f>
      </x:c>
      <x:c r="O900" s="13" t="str">
        <x:v>Sem informação</x:v>
      </x:c>
      <x:c r="P900" s="26"/>
      <x:c r="Q900" s="13" t="str"/>
      <x:c r="R900" s="13" t="str"/>
      <x:c r="S900" s="13" t="str"/>
      <x:c r="T900" s="13" t="str"/>
    </x:row>
    <x:row r="901">
      <x:c r="A901" s="13" t="str">
        <x:v>João Victor</x:v>
      </x:c>
      <x:c r="B901" s="13" t="n">
        <x:v>2030</x:v>
      </x:c>
      <x:c r="C901" s="13" t="str">
        <x:v>T4</x:v>
      </x:c>
      <x:c r="D901" s="24" t="n">
        <x:v>47848</x:v>
      </x:c>
      <x:c r="E901" s="13" t="str">
        <x:v>Lateral-esquerdo</x:v>
      </x:c>
      <x:c r="F901" s="13" t="str">
        <x:v>Tottenham Hotspur</x:v>
      </x:c>
      <x:c r="G901" s="16"/>
      <x:c r="H901" s="16"/>
      <x:c r="I901" s="16"/>
      <x:c r="J901" s="16"/>
      <x:c r="K901" s="16" t="str">
        <x:f>IF(COUNT(G901,I901)=0,"",AVERAGE(G901,I901))</x:f>
      </x:c>
      <x:c r="L901" s="16" t="str">
        <x:f>IF(COUNT(H901,J901)=0,"",AVERAGE(H901,J901))</x:f>
      </x:c>
      <x:c r="M901" s="16" t="str">
        <x:f>IF(OR(K901="",L901=""),"",L901-K901)</x:f>
      </x:c>
      <x:c r="N901" s="16" t="str">
        <x:f>IF(AND(A901=A900,ISNUMBER(K901),ISNUMBER(K900)),K901-K900,"")</x:f>
      </x:c>
      <x:c r="O901" s="13" t="str">
        <x:v>Sem informação</x:v>
      </x:c>
      <x:c r="P901" s="26"/>
      <x:c r="Q901" s="13" t="str"/>
      <x:c r="R901" s="13" t="str"/>
      <x:c r="S901" s="13" t="str"/>
      <x:c r="T901" s="13" t="str"/>
    </x:row>
    <x:row r="902">
      <x:c r="A902" s="13" t="str">
        <x:v>Kauã Prates</x:v>
      </x:c>
      <x:c r="B902" s="13" t="n">
        <x:v>2026</x:v>
      </x:c>
      <x:c r="C902" s="13" t="str">
        <x:v>T1</x:v>
      </x:c>
      <x:c r="D902" s="24" t="n">
        <x:v>46112</x:v>
      </x:c>
      <x:c r="E902" s="13" t="str">
        <x:v>Lateral-esquerdo</x:v>
      </x:c>
      <x:c r="F902" s="13" t="str">
        <x:v>Cruzeiro EC</x:v>
      </x:c>
      <x:c r="G902" s="16"/>
      <x:c r="H902" s="16"/>
      <x:c r="I902" s="16"/>
      <x:c r="J902" s="16"/>
      <x:c r="K902" s="16" t="str">
        <x:f>IF(COUNT(G902,I902)=0,"",AVERAGE(G902,I902))</x:f>
      </x:c>
      <x:c r="L902" s="16" t="str">
        <x:f>IF(COUNT(H902,J902)=0,"",AVERAGE(H902,J902))</x:f>
      </x:c>
      <x:c r="M902" s="16" t="str">
        <x:f>IF(OR(K902="",L902=""),"",L902-K902)</x:f>
      </x:c>
      <x:c r="N902" s="16" t="str">
        <x:f>""</x:f>
      </x:c>
      <x:c r="O902" s="13" t="str">
        <x:v>Sem informação</x:v>
      </x:c>
      <x:c r="P902" s="26"/>
      <x:c r="Q902" s="13" t="str"/>
      <x:c r="R902" s="13" t="str"/>
      <x:c r="S902" s="13" t="str"/>
      <x:c r="T902" s="13" t="str"/>
    </x:row>
    <x:row r="903">
      <x:c r="A903" s="13" t="str">
        <x:v>Kauã Prates</x:v>
      </x:c>
      <x:c r="B903" s="13" t="n">
        <x:v>2026</x:v>
      </x:c>
      <x:c r="C903" s="13" t="str">
        <x:v>T2</x:v>
      </x:c>
      <x:c r="D903" s="24" t="n">
        <x:v>46203</x:v>
      </x:c>
      <x:c r="E903" s="13" t="str">
        <x:v>Lateral-esquerdo</x:v>
      </x:c>
      <x:c r="F903" s="13" t="str">
        <x:v>Cruzeiro EC</x:v>
      </x:c>
      <x:c r="G903" s="16"/>
      <x:c r="H903" s="16"/>
      <x:c r="I903" s="16"/>
      <x:c r="J903" s="16"/>
      <x:c r="K903" s="16" t="str">
        <x:f>IF(COUNT(G903,I903)=0,"",AVERAGE(G903,I903))</x:f>
      </x:c>
      <x:c r="L903" s="16" t="str">
        <x:f>IF(COUNT(H903,J903)=0,"",AVERAGE(H903,J903))</x:f>
      </x:c>
      <x:c r="M903" s="16" t="str">
        <x:f>IF(OR(K903="",L903=""),"",L903-K903)</x:f>
      </x:c>
      <x:c r="N903" s="16" t="str">
        <x:f>IF(AND(A903=A902,ISNUMBER(K903),ISNUMBER(K902)),K903-K902,"")</x:f>
      </x:c>
      <x:c r="O903" s="13" t="str">
        <x:v>Sem informação</x:v>
      </x:c>
      <x:c r="P903" s="26"/>
      <x:c r="Q903" s="13" t="str"/>
      <x:c r="R903" s="13" t="str"/>
      <x:c r="S903" s="13" t="str"/>
      <x:c r="T903" s="13" t="str"/>
    </x:row>
    <x:row r="904">
      <x:c r="A904" s="13" t="str">
        <x:v>Kauã Prates</x:v>
      </x:c>
      <x:c r="B904" s="13" t="n">
        <x:v>2026</x:v>
      </x:c>
      <x:c r="C904" s="13" t="str">
        <x:v>T3</x:v>
      </x:c>
      <x:c r="D904" s="24" t="n">
        <x:v>46295</x:v>
      </x:c>
      <x:c r="E904" s="13" t="str">
        <x:v>Lateral-esquerdo</x:v>
      </x:c>
      <x:c r="F904" s="13" t="str">
        <x:v>Cruzeiro EC</x:v>
      </x:c>
      <x:c r="G904" s="16"/>
      <x:c r="H904" s="16"/>
      <x:c r="I904" s="16"/>
      <x:c r="J904" s="16"/>
      <x:c r="K904" s="16" t="str">
        <x:f>IF(COUNT(G904,I904)=0,"",AVERAGE(G904,I904))</x:f>
      </x:c>
      <x:c r="L904" s="16" t="str">
        <x:f>IF(COUNT(H904,J904)=0,"",AVERAGE(H904,J904))</x:f>
      </x:c>
      <x:c r="M904" s="16" t="str">
        <x:f>IF(OR(K904="",L904=""),"",L904-K904)</x:f>
      </x:c>
      <x:c r="N904" s="16" t="str">
        <x:f>IF(AND(A904=A903,ISNUMBER(K904),ISNUMBER(K903)),K904-K903,"")</x:f>
      </x:c>
      <x:c r="O904" s="13" t="str">
        <x:v>Sem informação</x:v>
      </x:c>
      <x:c r="P904" s="26"/>
      <x:c r="Q904" s="13" t="str"/>
      <x:c r="R904" s="13" t="str"/>
      <x:c r="S904" s="13" t="str"/>
      <x:c r="T904" s="13" t="str"/>
    </x:row>
    <x:row r="905">
      <x:c r="A905" s="13" t="str">
        <x:v>Kauã Prates</x:v>
      </x:c>
      <x:c r="B905" s="13" t="n">
        <x:v>2026</x:v>
      </x:c>
      <x:c r="C905" s="13" t="str">
        <x:v>T4</x:v>
      </x:c>
      <x:c r="D905" s="24" t="n">
        <x:v>46387</x:v>
      </x:c>
      <x:c r="E905" s="13" t="str">
        <x:v>Lateral-esquerdo</x:v>
      </x:c>
      <x:c r="F905" s="13" t="str">
        <x:v>Cruzeiro EC</x:v>
      </x:c>
      <x:c r="G905" s="16"/>
      <x:c r="H905" s="16"/>
      <x:c r="I905" s="16"/>
      <x:c r="J905" s="16"/>
      <x:c r="K905" s="16" t="str">
        <x:f>IF(COUNT(G905,I905)=0,"",AVERAGE(G905,I905))</x:f>
      </x:c>
      <x:c r="L905" s="16" t="str">
        <x:f>IF(COUNT(H905,J905)=0,"",AVERAGE(H905,J905))</x:f>
      </x:c>
      <x:c r="M905" s="16" t="str">
        <x:f>IF(OR(K905="",L905=""),"",L905-K905)</x:f>
      </x:c>
      <x:c r="N905" s="16" t="str">
        <x:f>IF(AND(A905=A904,ISNUMBER(K905),ISNUMBER(K904)),K905-K904,"")</x:f>
      </x:c>
      <x:c r="O905" s="13" t="str">
        <x:v>Sem informação</x:v>
      </x:c>
      <x:c r="P905" s="26"/>
      <x:c r="Q905" s="13" t="str"/>
      <x:c r="R905" s="13" t="str"/>
      <x:c r="S905" s="13" t="str"/>
      <x:c r="T905" s="13" t="str"/>
    </x:row>
    <x:row r="906">
      <x:c r="A906" s="13" t="str">
        <x:v>Kauã Prates</x:v>
      </x:c>
      <x:c r="B906" s="13" t="n">
        <x:v>2027</x:v>
      </x:c>
      <x:c r="C906" s="13" t="str">
        <x:v>T1</x:v>
      </x:c>
      <x:c r="D906" s="24" t="n">
        <x:v>46477</x:v>
      </x:c>
      <x:c r="E906" s="13" t="str">
        <x:v>Lateral-esquerdo</x:v>
      </x:c>
      <x:c r="F906" s="13" t="str">
        <x:v>Cruzeiro EC</x:v>
      </x:c>
      <x:c r="G906" s="16"/>
      <x:c r="H906" s="16"/>
      <x:c r="I906" s="16"/>
      <x:c r="J906" s="16"/>
      <x:c r="K906" s="16" t="str">
        <x:f>IF(COUNT(G906,I906)=0,"",AVERAGE(G906,I906))</x:f>
      </x:c>
      <x:c r="L906" s="16" t="str">
        <x:f>IF(COUNT(H906,J906)=0,"",AVERAGE(H906,J906))</x:f>
      </x:c>
      <x:c r="M906" s="16" t="str">
        <x:f>IF(OR(K906="",L906=""),"",L906-K906)</x:f>
      </x:c>
      <x:c r="N906" s="16" t="str">
        <x:f>IF(AND(A906=A905,ISNUMBER(K906),ISNUMBER(K905)),K906-K905,"")</x:f>
      </x:c>
      <x:c r="O906" s="13" t="str">
        <x:v>Sem informação</x:v>
      </x:c>
      <x:c r="P906" s="26"/>
      <x:c r="Q906" s="13" t="str"/>
      <x:c r="R906" s="13" t="str"/>
      <x:c r="S906" s="13" t="str"/>
      <x:c r="T906" s="13" t="str"/>
    </x:row>
    <x:row r="907">
      <x:c r="A907" s="13" t="str">
        <x:v>Kauã Prates</x:v>
      </x:c>
      <x:c r="B907" s="13" t="n">
        <x:v>2027</x:v>
      </x:c>
      <x:c r="C907" s="13" t="str">
        <x:v>T2</x:v>
      </x:c>
      <x:c r="D907" s="24" t="n">
        <x:v>46568</x:v>
      </x:c>
      <x:c r="E907" s="13" t="str">
        <x:v>Lateral-esquerdo</x:v>
      </x:c>
      <x:c r="F907" s="13" t="str">
        <x:v>Cruzeiro EC</x:v>
      </x:c>
      <x:c r="G907" s="16"/>
      <x:c r="H907" s="16"/>
      <x:c r="I907" s="16"/>
      <x:c r="J907" s="16"/>
      <x:c r="K907" s="16" t="str">
        <x:f>IF(COUNT(G907,I907)=0,"",AVERAGE(G907,I907))</x:f>
      </x:c>
      <x:c r="L907" s="16" t="str">
        <x:f>IF(COUNT(H907,J907)=0,"",AVERAGE(H907,J907))</x:f>
      </x:c>
      <x:c r="M907" s="16" t="str">
        <x:f>IF(OR(K907="",L907=""),"",L907-K907)</x:f>
      </x:c>
      <x:c r="N907" s="16" t="str">
        <x:f>IF(AND(A907=A906,ISNUMBER(K907),ISNUMBER(K906)),K907-K906,"")</x:f>
      </x:c>
      <x:c r="O907" s="13" t="str">
        <x:v>Sem informação</x:v>
      </x:c>
      <x:c r="P907" s="26"/>
      <x:c r="Q907" s="13" t="str"/>
      <x:c r="R907" s="13" t="str"/>
      <x:c r="S907" s="13" t="str"/>
      <x:c r="T907" s="13" t="str"/>
    </x:row>
    <x:row r="908">
      <x:c r="A908" s="13" t="str">
        <x:v>Kauã Prates</x:v>
      </x:c>
      <x:c r="B908" s="13" t="n">
        <x:v>2027</x:v>
      </x:c>
      <x:c r="C908" s="13" t="str">
        <x:v>T3</x:v>
      </x:c>
      <x:c r="D908" s="24" t="n">
        <x:v>46660</x:v>
      </x:c>
      <x:c r="E908" s="13" t="str">
        <x:v>Lateral-esquerdo</x:v>
      </x:c>
      <x:c r="F908" s="13" t="str">
        <x:v>Cruzeiro EC</x:v>
      </x:c>
      <x:c r="G908" s="16"/>
      <x:c r="H908" s="16"/>
      <x:c r="I908" s="16"/>
      <x:c r="J908" s="16"/>
      <x:c r="K908" s="16" t="str">
        <x:f>IF(COUNT(G908,I908)=0,"",AVERAGE(G908,I908))</x:f>
      </x:c>
      <x:c r="L908" s="16" t="str">
        <x:f>IF(COUNT(H908,J908)=0,"",AVERAGE(H908,J908))</x:f>
      </x:c>
      <x:c r="M908" s="16" t="str">
        <x:f>IF(OR(K908="",L908=""),"",L908-K908)</x:f>
      </x:c>
      <x:c r="N908" s="16" t="str">
        <x:f>IF(AND(A908=A907,ISNUMBER(K908),ISNUMBER(K907)),K908-K907,"")</x:f>
      </x:c>
      <x:c r="O908" s="13" t="str">
        <x:v>Sem informação</x:v>
      </x:c>
      <x:c r="P908" s="26"/>
      <x:c r="Q908" s="13" t="str"/>
      <x:c r="R908" s="13" t="str"/>
      <x:c r="S908" s="13" t="str"/>
      <x:c r="T908" s="13" t="str"/>
    </x:row>
    <x:row r="909">
      <x:c r="A909" s="13" t="str">
        <x:v>Kauã Prates</x:v>
      </x:c>
      <x:c r="B909" s="13" t="n">
        <x:v>2027</x:v>
      </x:c>
      <x:c r="C909" s="13" t="str">
        <x:v>T4</x:v>
      </x:c>
      <x:c r="D909" s="24" t="n">
        <x:v>46752</x:v>
      </x:c>
      <x:c r="E909" s="13" t="str">
        <x:v>Lateral-esquerdo</x:v>
      </x:c>
      <x:c r="F909" s="13" t="str">
        <x:v>Cruzeiro EC</x:v>
      </x:c>
      <x:c r="G909" s="16"/>
      <x:c r="H909" s="16"/>
      <x:c r="I909" s="16"/>
      <x:c r="J909" s="16"/>
      <x:c r="K909" s="16" t="str">
        <x:f>IF(COUNT(G909,I909)=0,"",AVERAGE(G909,I909))</x:f>
      </x:c>
      <x:c r="L909" s="16" t="str">
        <x:f>IF(COUNT(H909,J909)=0,"",AVERAGE(H909,J909))</x:f>
      </x:c>
      <x:c r="M909" s="16" t="str">
        <x:f>IF(OR(K909="",L909=""),"",L909-K909)</x:f>
      </x:c>
      <x:c r="N909" s="16" t="str">
        <x:f>IF(AND(A909=A908,ISNUMBER(K909),ISNUMBER(K908)),K909-K908,"")</x:f>
      </x:c>
      <x:c r="O909" s="13" t="str">
        <x:v>Sem informação</x:v>
      </x:c>
      <x:c r="P909" s="26"/>
      <x:c r="Q909" s="13" t="str"/>
      <x:c r="R909" s="13" t="str"/>
      <x:c r="S909" s="13" t="str"/>
      <x:c r="T909" s="13" t="str"/>
    </x:row>
    <x:row r="910">
      <x:c r="A910" s="13" t="str">
        <x:v>Kauã Prates</x:v>
      </x:c>
      <x:c r="B910" s="13" t="n">
        <x:v>2028</x:v>
      </x:c>
      <x:c r="C910" s="13" t="str">
        <x:v>T1</x:v>
      </x:c>
      <x:c r="D910" s="24" t="n">
        <x:v>46843</x:v>
      </x:c>
      <x:c r="E910" s="13" t="str">
        <x:v>Lateral-esquerdo</x:v>
      </x:c>
      <x:c r="F910" s="13" t="str">
        <x:v>Cruzeiro EC</x:v>
      </x:c>
      <x:c r="G910" s="16"/>
      <x:c r="H910" s="16"/>
      <x:c r="I910" s="16"/>
      <x:c r="J910" s="16"/>
      <x:c r="K910" s="16" t="str">
        <x:f>IF(COUNT(G910,I910)=0,"",AVERAGE(G910,I910))</x:f>
      </x:c>
      <x:c r="L910" s="16" t="str">
        <x:f>IF(COUNT(H910,J910)=0,"",AVERAGE(H910,J910))</x:f>
      </x:c>
      <x:c r="M910" s="16" t="str">
        <x:f>IF(OR(K910="",L910=""),"",L910-K910)</x:f>
      </x:c>
      <x:c r="N910" s="16" t="str">
        <x:f>IF(AND(A910=A909,ISNUMBER(K910),ISNUMBER(K909)),K910-K909,"")</x:f>
      </x:c>
      <x:c r="O910" s="13" t="str">
        <x:v>Sem informação</x:v>
      </x:c>
      <x:c r="P910" s="26"/>
      <x:c r="Q910" s="13" t="str"/>
      <x:c r="R910" s="13" t="str"/>
      <x:c r="S910" s="13" t="str"/>
      <x:c r="T910" s="13" t="str"/>
    </x:row>
    <x:row r="911">
      <x:c r="A911" s="13" t="str">
        <x:v>Kauã Prates</x:v>
      </x:c>
      <x:c r="B911" s="13" t="n">
        <x:v>2028</x:v>
      </x:c>
      <x:c r="C911" s="13" t="str">
        <x:v>T2</x:v>
      </x:c>
      <x:c r="D911" s="24" t="n">
        <x:v>46934</x:v>
      </x:c>
      <x:c r="E911" s="13" t="str">
        <x:v>Lateral-esquerdo</x:v>
      </x:c>
      <x:c r="F911" s="13" t="str">
        <x:v>Cruzeiro EC</x:v>
      </x:c>
      <x:c r="G911" s="16"/>
      <x:c r="H911" s="16"/>
      <x:c r="I911" s="16"/>
      <x:c r="J911" s="16"/>
      <x:c r="K911" s="16" t="str">
        <x:f>IF(COUNT(G911,I911)=0,"",AVERAGE(G911,I911))</x:f>
      </x:c>
      <x:c r="L911" s="16" t="str">
        <x:f>IF(COUNT(H911,J911)=0,"",AVERAGE(H911,J911))</x:f>
      </x:c>
      <x:c r="M911" s="16" t="str">
        <x:f>IF(OR(K911="",L911=""),"",L911-K911)</x:f>
      </x:c>
      <x:c r="N911" s="16" t="str">
        <x:f>IF(AND(A911=A910,ISNUMBER(K911),ISNUMBER(K910)),K911-K910,"")</x:f>
      </x:c>
      <x:c r="O911" s="13" t="str">
        <x:v>Sem informação</x:v>
      </x:c>
      <x:c r="P911" s="26"/>
      <x:c r="Q911" s="13" t="str"/>
      <x:c r="R911" s="13" t="str"/>
      <x:c r="S911" s="13" t="str"/>
      <x:c r="T911" s="13" t="str"/>
    </x:row>
    <x:row r="912">
      <x:c r="A912" s="13" t="str">
        <x:v>Kauã Prates</x:v>
      </x:c>
      <x:c r="B912" s="13" t="n">
        <x:v>2028</x:v>
      </x:c>
      <x:c r="C912" s="13" t="str">
        <x:v>T3</x:v>
      </x:c>
      <x:c r="D912" s="24" t="n">
        <x:v>47026</x:v>
      </x:c>
      <x:c r="E912" s="13" t="str">
        <x:v>Lateral-esquerdo</x:v>
      </x:c>
      <x:c r="F912" s="13" t="str">
        <x:v>Cruzeiro EC</x:v>
      </x:c>
      <x:c r="G912" s="16"/>
      <x:c r="H912" s="16"/>
      <x:c r="I912" s="16"/>
      <x:c r="J912" s="16"/>
      <x:c r="K912" s="16" t="str">
        <x:f>IF(COUNT(G912,I912)=0,"",AVERAGE(G912,I912))</x:f>
      </x:c>
      <x:c r="L912" s="16" t="str">
        <x:f>IF(COUNT(H912,J912)=0,"",AVERAGE(H912,J912))</x:f>
      </x:c>
      <x:c r="M912" s="16" t="str">
        <x:f>IF(OR(K912="",L912=""),"",L912-K912)</x:f>
      </x:c>
      <x:c r="N912" s="16" t="str">
        <x:f>IF(AND(A912=A911,ISNUMBER(K912),ISNUMBER(K911)),K912-K911,"")</x:f>
      </x:c>
      <x:c r="O912" s="13" t="str">
        <x:v>Sem informação</x:v>
      </x:c>
      <x:c r="P912" s="26"/>
      <x:c r="Q912" s="13" t="str"/>
      <x:c r="R912" s="13" t="str"/>
      <x:c r="S912" s="13" t="str"/>
      <x:c r="T912" s="13" t="str"/>
    </x:row>
    <x:row r="913">
      <x:c r="A913" s="13" t="str">
        <x:v>Kauã Prates</x:v>
      </x:c>
      <x:c r="B913" s="13" t="n">
        <x:v>2028</x:v>
      </x:c>
      <x:c r="C913" s="13" t="str">
        <x:v>T4</x:v>
      </x:c>
      <x:c r="D913" s="24" t="n">
        <x:v>47118</x:v>
      </x:c>
      <x:c r="E913" s="13" t="str">
        <x:v>Lateral-esquerdo</x:v>
      </x:c>
      <x:c r="F913" s="13" t="str">
        <x:v>Cruzeiro EC</x:v>
      </x:c>
      <x:c r="G913" s="16"/>
      <x:c r="H913" s="16"/>
      <x:c r="I913" s="16"/>
      <x:c r="J913" s="16"/>
      <x:c r="K913" s="16" t="str">
        <x:f>IF(COUNT(G913,I913)=0,"",AVERAGE(G913,I913))</x:f>
      </x:c>
      <x:c r="L913" s="16" t="str">
        <x:f>IF(COUNT(H913,J913)=0,"",AVERAGE(H913,J913))</x:f>
      </x:c>
      <x:c r="M913" s="16" t="str">
        <x:f>IF(OR(K913="",L913=""),"",L913-K913)</x:f>
      </x:c>
      <x:c r="N913" s="16" t="str">
        <x:f>IF(AND(A913=A912,ISNUMBER(K913),ISNUMBER(K912)),K913-K912,"")</x:f>
      </x:c>
      <x:c r="O913" s="13" t="str">
        <x:v>Sem informação</x:v>
      </x:c>
      <x:c r="P913" s="26"/>
      <x:c r="Q913" s="13" t="str"/>
      <x:c r="R913" s="13" t="str"/>
      <x:c r="S913" s="13" t="str"/>
      <x:c r="T913" s="13" t="str"/>
    </x:row>
    <x:row r="914">
      <x:c r="A914" s="13" t="str">
        <x:v>Kauã Prates</x:v>
      </x:c>
      <x:c r="B914" s="13" t="n">
        <x:v>2029</x:v>
      </x:c>
      <x:c r="C914" s="13" t="str">
        <x:v>T1</x:v>
      </x:c>
      <x:c r="D914" s="24" t="n">
        <x:v>47208</x:v>
      </x:c>
      <x:c r="E914" s="13" t="str">
        <x:v>Lateral-esquerdo</x:v>
      </x:c>
      <x:c r="F914" s="13" t="str">
        <x:v>Cruzeiro EC</x:v>
      </x:c>
      <x:c r="G914" s="16"/>
      <x:c r="H914" s="16"/>
      <x:c r="I914" s="16"/>
      <x:c r="J914" s="16"/>
      <x:c r="K914" s="16" t="str">
        <x:f>IF(COUNT(G914,I914)=0,"",AVERAGE(G914,I914))</x:f>
      </x:c>
      <x:c r="L914" s="16" t="str">
        <x:f>IF(COUNT(H914,J914)=0,"",AVERAGE(H914,J914))</x:f>
      </x:c>
      <x:c r="M914" s="16" t="str">
        <x:f>IF(OR(K914="",L914=""),"",L914-K914)</x:f>
      </x:c>
      <x:c r="N914" s="16" t="str">
        <x:f>IF(AND(A914=A913,ISNUMBER(K914),ISNUMBER(K913)),K914-K913,"")</x:f>
      </x:c>
      <x:c r="O914" s="13" t="str">
        <x:v>Sem informação</x:v>
      </x:c>
      <x:c r="P914" s="26"/>
      <x:c r="Q914" s="13" t="str"/>
      <x:c r="R914" s="13" t="str"/>
      <x:c r="S914" s="13" t="str"/>
      <x:c r="T914" s="13" t="str"/>
    </x:row>
    <x:row r="915">
      <x:c r="A915" s="13" t="str">
        <x:v>Kauã Prates</x:v>
      </x:c>
      <x:c r="B915" s="13" t="n">
        <x:v>2029</x:v>
      </x:c>
      <x:c r="C915" s="13" t="str">
        <x:v>T2</x:v>
      </x:c>
      <x:c r="D915" s="24" t="n">
        <x:v>47299</x:v>
      </x:c>
      <x:c r="E915" s="13" t="str">
        <x:v>Lateral-esquerdo</x:v>
      </x:c>
      <x:c r="F915" s="13" t="str">
        <x:v>Cruzeiro EC</x:v>
      </x:c>
      <x:c r="G915" s="16"/>
      <x:c r="H915" s="16"/>
      <x:c r="I915" s="16"/>
      <x:c r="J915" s="16"/>
      <x:c r="K915" s="16" t="str">
        <x:f>IF(COUNT(G915,I915)=0,"",AVERAGE(G915,I915))</x:f>
      </x:c>
      <x:c r="L915" s="16" t="str">
        <x:f>IF(COUNT(H915,J915)=0,"",AVERAGE(H915,J915))</x:f>
      </x:c>
      <x:c r="M915" s="16" t="str">
        <x:f>IF(OR(K915="",L915=""),"",L915-K915)</x:f>
      </x:c>
      <x:c r="N915" s="16" t="str">
        <x:f>IF(AND(A915=A914,ISNUMBER(K915),ISNUMBER(K914)),K915-K914,"")</x:f>
      </x:c>
      <x:c r="O915" s="13" t="str">
        <x:v>Sem informação</x:v>
      </x:c>
      <x:c r="P915" s="26"/>
      <x:c r="Q915" s="13" t="str"/>
      <x:c r="R915" s="13" t="str"/>
      <x:c r="S915" s="13" t="str"/>
      <x:c r="T915" s="13" t="str"/>
    </x:row>
    <x:row r="916">
      <x:c r="A916" s="13" t="str">
        <x:v>Kauã Prates</x:v>
      </x:c>
      <x:c r="B916" s="13" t="n">
        <x:v>2029</x:v>
      </x:c>
      <x:c r="C916" s="13" t="str">
        <x:v>T3</x:v>
      </x:c>
      <x:c r="D916" s="24" t="n">
        <x:v>47391</x:v>
      </x:c>
      <x:c r="E916" s="13" t="str">
        <x:v>Lateral-esquerdo</x:v>
      </x:c>
      <x:c r="F916" s="13" t="str">
        <x:v>Cruzeiro EC</x:v>
      </x:c>
      <x:c r="G916" s="16"/>
      <x:c r="H916" s="16"/>
      <x:c r="I916" s="16"/>
      <x:c r="J916" s="16"/>
      <x:c r="K916" s="16" t="str">
        <x:f>IF(COUNT(G916,I916)=0,"",AVERAGE(G916,I916))</x:f>
      </x:c>
      <x:c r="L916" s="16" t="str">
        <x:f>IF(COUNT(H916,J916)=0,"",AVERAGE(H916,J916))</x:f>
      </x:c>
      <x:c r="M916" s="16" t="str">
        <x:f>IF(OR(K916="",L916=""),"",L916-K916)</x:f>
      </x:c>
      <x:c r="N916" s="16" t="str">
        <x:f>IF(AND(A916=A915,ISNUMBER(K916),ISNUMBER(K915)),K916-K915,"")</x:f>
      </x:c>
      <x:c r="O916" s="13" t="str">
        <x:v>Sem informação</x:v>
      </x:c>
      <x:c r="P916" s="26"/>
      <x:c r="Q916" s="13" t="str"/>
      <x:c r="R916" s="13" t="str"/>
      <x:c r="S916" s="13" t="str"/>
      <x:c r="T916" s="13" t="str"/>
    </x:row>
    <x:row r="917">
      <x:c r="A917" s="13" t="str">
        <x:v>Kauã Prates</x:v>
      </x:c>
      <x:c r="B917" s="13" t="n">
        <x:v>2029</x:v>
      </x:c>
      <x:c r="C917" s="13" t="str">
        <x:v>T4</x:v>
      </x:c>
      <x:c r="D917" s="24" t="n">
        <x:v>47483</x:v>
      </x:c>
      <x:c r="E917" s="13" t="str">
        <x:v>Lateral-esquerdo</x:v>
      </x:c>
      <x:c r="F917" s="13" t="str">
        <x:v>Cruzeiro EC</x:v>
      </x:c>
      <x:c r="G917" s="16"/>
      <x:c r="H917" s="16"/>
      <x:c r="I917" s="16"/>
      <x:c r="J917" s="16"/>
      <x:c r="K917" s="16" t="str">
        <x:f>IF(COUNT(G917,I917)=0,"",AVERAGE(G917,I917))</x:f>
      </x:c>
      <x:c r="L917" s="16" t="str">
        <x:f>IF(COUNT(H917,J917)=0,"",AVERAGE(H917,J917))</x:f>
      </x:c>
      <x:c r="M917" s="16" t="str">
        <x:f>IF(OR(K917="",L917=""),"",L917-K917)</x:f>
      </x:c>
      <x:c r="N917" s="16" t="str">
        <x:f>IF(AND(A917=A916,ISNUMBER(K917),ISNUMBER(K916)),K917-K916,"")</x:f>
      </x:c>
      <x:c r="O917" s="13" t="str">
        <x:v>Sem informação</x:v>
      </x:c>
      <x:c r="P917" s="26"/>
      <x:c r="Q917" s="13" t="str"/>
      <x:c r="R917" s="13" t="str"/>
      <x:c r="S917" s="13" t="str"/>
      <x:c r="T917" s="13" t="str"/>
    </x:row>
    <x:row r="918">
      <x:c r="A918" s="13" t="str">
        <x:v>Kauã Prates</x:v>
      </x:c>
      <x:c r="B918" s="13" t="n">
        <x:v>2030</x:v>
      </x:c>
      <x:c r="C918" s="13" t="str">
        <x:v>T1</x:v>
      </x:c>
      <x:c r="D918" s="24" t="n">
        <x:v>47573</x:v>
      </x:c>
      <x:c r="E918" s="13" t="str">
        <x:v>Lateral-esquerdo</x:v>
      </x:c>
      <x:c r="F918" s="13" t="str">
        <x:v>Cruzeiro EC</x:v>
      </x:c>
      <x:c r="G918" s="16"/>
      <x:c r="H918" s="16"/>
      <x:c r="I918" s="16"/>
      <x:c r="J918" s="16"/>
      <x:c r="K918" s="16" t="str">
        <x:f>IF(COUNT(G918,I918)=0,"",AVERAGE(G918,I918))</x:f>
      </x:c>
      <x:c r="L918" s="16" t="str">
        <x:f>IF(COUNT(H918,J918)=0,"",AVERAGE(H918,J918))</x:f>
      </x:c>
      <x:c r="M918" s="16" t="str">
        <x:f>IF(OR(K918="",L918=""),"",L918-K918)</x:f>
      </x:c>
      <x:c r="N918" s="16" t="str">
        <x:f>IF(AND(A918=A917,ISNUMBER(K918),ISNUMBER(K917)),K918-K917,"")</x:f>
      </x:c>
      <x:c r="O918" s="13" t="str">
        <x:v>Sem informação</x:v>
      </x:c>
      <x:c r="P918" s="26"/>
      <x:c r="Q918" s="13" t="str"/>
      <x:c r="R918" s="13" t="str"/>
      <x:c r="S918" s="13" t="str"/>
      <x:c r="T918" s="13" t="str"/>
    </x:row>
    <x:row r="919">
      <x:c r="A919" s="13" t="str">
        <x:v>Kauã Prates</x:v>
      </x:c>
      <x:c r="B919" s="13" t="n">
        <x:v>2030</x:v>
      </x:c>
      <x:c r="C919" s="13" t="str">
        <x:v>T2</x:v>
      </x:c>
      <x:c r="D919" s="24" t="n">
        <x:v>47664</x:v>
      </x:c>
      <x:c r="E919" s="13" t="str">
        <x:v>Lateral-esquerdo</x:v>
      </x:c>
      <x:c r="F919" s="13" t="str">
        <x:v>Cruzeiro EC</x:v>
      </x:c>
      <x:c r="G919" s="16"/>
      <x:c r="H919" s="16"/>
      <x:c r="I919" s="16"/>
      <x:c r="J919" s="16"/>
      <x:c r="K919" s="16" t="str">
        <x:f>IF(COUNT(G919,I919)=0,"",AVERAGE(G919,I919))</x:f>
      </x:c>
      <x:c r="L919" s="16" t="str">
        <x:f>IF(COUNT(H919,J919)=0,"",AVERAGE(H919,J919))</x:f>
      </x:c>
      <x:c r="M919" s="16" t="str">
        <x:f>IF(OR(K919="",L919=""),"",L919-K919)</x:f>
      </x:c>
      <x:c r="N919" s="16" t="str">
        <x:f>IF(AND(A919=A918,ISNUMBER(K919),ISNUMBER(K918)),K919-K918,"")</x:f>
      </x:c>
      <x:c r="O919" s="13" t="str">
        <x:v>Sem informação</x:v>
      </x:c>
      <x:c r="P919" s="26"/>
      <x:c r="Q919" s="13" t="str"/>
      <x:c r="R919" s="13" t="str"/>
      <x:c r="S919" s="13" t="str"/>
      <x:c r="T919" s="13" t="str"/>
    </x:row>
    <x:row r="920">
      <x:c r="A920" s="13" t="str">
        <x:v>Kauã Prates</x:v>
      </x:c>
      <x:c r="B920" s="13" t="n">
        <x:v>2030</x:v>
      </x:c>
      <x:c r="C920" s="13" t="str">
        <x:v>T3</x:v>
      </x:c>
      <x:c r="D920" s="24" t="n">
        <x:v>47756</x:v>
      </x:c>
      <x:c r="E920" s="13" t="str">
        <x:v>Lateral-esquerdo</x:v>
      </x:c>
      <x:c r="F920" s="13" t="str">
        <x:v>Cruzeiro EC</x:v>
      </x:c>
      <x:c r="G920" s="16"/>
      <x:c r="H920" s="16"/>
      <x:c r="I920" s="16"/>
      <x:c r="J920" s="16"/>
      <x:c r="K920" s="16" t="str">
        <x:f>IF(COUNT(G920,I920)=0,"",AVERAGE(G920,I920))</x:f>
      </x:c>
      <x:c r="L920" s="16" t="str">
        <x:f>IF(COUNT(H920,J920)=0,"",AVERAGE(H920,J920))</x:f>
      </x:c>
      <x:c r="M920" s="16" t="str">
        <x:f>IF(OR(K920="",L920=""),"",L920-K920)</x:f>
      </x:c>
      <x:c r="N920" s="16" t="str">
        <x:f>IF(AND(A920=A919,ISNUMBER(K920),ISNUMBER(K919)),K920-K919,"")</x:f>
      </x:c>
      <x:c r="O920" s="13" t="str">
        <x:v>Sem informação</x:v>
      </x:c>
      <x:c r="P920" s="26"/>
      <x:c r="Q920" s="13" t="str"/>
      <x:c r="R920" s="13" t="str"/>
      <x:c r="S920" s="13" t="str"/>
      <x:c r="T920" s="13" t="str"/>
    </x:row>
    <x:row r="921">
      <x:c r="A921" s="13" t="str">
        <x:v>Kauã Prates</x:v>
      </x:c>
      <x:c r="B921" s="13" t="n">
        <x:v>2030</x:v>
      </x:c>
      <x:c r="C921" s="13" t="str">
        <x:v>T4</x:v>
      </x:c>
      <x:c r="D921" s="24" t="n">
        <x:v>47848</x:v>
      </x:c>
      <x:c r="E921" s="13" t="str">
        <x:v>Lateral-esquerdo</x:v>
      </x:c>
      <x:c r="F921" s="13" t="str">
        <x:v>Cruzeiro EC</x:v>
      </x:c>
      <x:c r="G921" s="16"/>
      <x:c r="H921" s="16"/>
      <x:c r="I921" s="16"/>
      <x:c r="J921" s="16"/>
      <x:c r="K921" s="16" t="str">
        <x:f>IF(COUNT(G921,I921)=0,"",AVERAGE(G921,I921))</x:f>
      </x:c>
      <x:c r="L921" s="16" t="str">
        <x:f>IF(COUNT(H921,J921)=0,"",AVERAGE(H921,J921))</x:f>
      </x:c>
      <x:c r="M921" s="16" t="str">
        <x:f>IF(OR(K921="",L921=""),"",L921-K921)</x:f>
      </x:c>
      <x:c r="N921" s="16" t="str">
        <x:f>IF(AND(A921=A920,ISNUMBER(K921),ISNUMBER(K920)),K921-K920,"")</x:f>
      </x:c>
      <x:c r="O921" s="13" t="str">
        <x:v>Sem informação</x:v>
      </x:c>
      <x:c r="P921" s="26"/>
      <x:c r="Q921" s="13" t="str"/>
      <x:c r="R921" s="13" t="str"/>
      <x:c r="S921" s="13" t="str"/>
      <x:c r="T921" s="13" t="str"/>
    </x:row>
    <x:row r="922">
      <x:c r="A922" s="13" t="str">
        <x:v>Kevin</x:v>
      </x:c>
      <x:c r="B922" s="13" t="n">
        <x:v>2026</x:v>
      </x:c>
      <x:c r="C922" s="13" t="str">
        <x:v>T1</x:v>
      </x:c>
      <x:c r="D922" s="24" t="n">
        <x:v>46112</x:v>
      </x:c>
      <x:c r="E922" s="13" t="str">
        <x:v>Ponta-esquerda</x:v>
      </x:c>
      <x:c r="F922" s="13" t="str">
        <x:v>FC Fulham</x:v>
      </x:c>
      <x:c r="G922" s="16"/>
      <x:c r="H922" s="16"/>
      <x:c r="I922" s="16"/>
      <x:c r="J922" s="16"/>
      <x:c r="K922" s="16" t="str">
        <x:f>IF(COUNT(G922,I922)=0,"",AVERAGE(G922,I922))</x:f>
      </x:c>
      <x:c r="L922" s="16" t="str">
        <x:f>IF(COUNT(H922,J922)=0,"",AVERAGE(H922,J922))</x:f>
      </x:c>
      <x:c r="M922" s="16" t="str">
        <x:f>IF(OR(K922="",L922=""),"",L922-K922)</x:f>
      </x:c>
      <x:c r="N922" s="16" t="str">
        <x:f>""</x:f>
      </x:c>
      <x:c r="O922" s="13" t="str">
        <x:v>Sem informação</x:v>
      </x:c>
      <x:c r="P922" s="26"/>
      <x:c r="Q922" s="13" t="str"/>
      <x:c r="R922" s="13" t="str"/>
      <x:c r="S922" s="13" t="str"/>
      <x:c r="T922" s="13" t="str"/>
    </x:row>
    <x:row r="923">
      <x:c r="A923" s="13" t="str">
        <x:v>Kevin</x:v>
      </x:c>
      <x:c r="B923" s="13" t="n">
        <x:v>2026</x:v>
      </x:c>
      <x:c r="C923" s="13" t="str">
        <x:v>T2</x:v>
      </x:c>
      <x:c r="D923" s="24" t="n">
        <x:v>46203</x:v>
      </x:c>
      <x:c r="E923" s="13" t="str">
        <x:v>Ponta-esquerda</x:v>
      </x:c>
      <x:c r="F923" s="13" t="str">
        <x:v>FC Fulham</x:v>
      </x:c>
      <x:c r="G923" s="16"/>
      <x:c r="H923" s="16"/>
      <x:c r="I923" s="16"/>
      <x:c r="J923" s="16"/>
      <x:c r="K923" s="16" t="str">
        <x:f>IF(COUNT(G923,I923)=0,"",AVERAGE(G923,I923))</x:f>
      </x:c>
      <x:c r="L923" s="16" t="str">
        <x:f>IF(COUNT(H923,J923)=0,"",AVERAGE(H923,J923))</x:f>
      </x:c>
      <x:c r="M923" s="16" t="str">
        <x:f>IF(OR(K923="",L923=""),"",L923-K923)</x:f>
      </x:c>
      <x:c r="N923" s="16" t="str">
        <x:f>IF(AND(A923=A922,ISNUMBER(K923),ISNUMBER(K922)),K923-K922,"")</x:f>
      </x:c>
      <x:c r="O923" s="13" t="str">
        <x:v>Sem informação</x:v>
      </x:c>
      <x:c r="P923" s="26"/>
      <x:c r="Q923" s="13" t="str"/>
      <x:c r="R923" s="13" t="str"/>
      <x:c r="S923" s="13" t="str"/>
      <x:c r="T923" s="13" t="str"/>
    </x:row>
    <x:row r="924">
      <x:c r="A924" s="13" t="str">
        <x:v>Kevin</x:v>
      </x:c>
      <x:c r="B924" s="13" t="n">
        <x:v>2026</x:v>
      </x:c>
      <x:c r="C924" s="13" t="str">
        <x:v>T3</x:v>
      </x:c>
      <x:c r="D924" s="24" t="n">
        <x:v>46295</x:v>
      </x:c>
      <x:c r="E924" s="13" t="str">
        <x:v>Ponta-esquerda</x:v>
      </x:c>
      <x:c r="F924" s="13" t="str">
        <x:v>FC Fulham</x:v>
      </x:c>
      <x:c r="G924" s="16"/>
      <x:c r="H924" s="16"/>
      <x:c r="I924" s="16"/>
      <x:c r="J924" s="16"/>
      <x:c r="K924" s="16" t="str">
        <x:f>IF(COUNT(G924,I924)=0,"",AVERAGE(G924,I924))</x:f>
      </x:c>
      <x:c r="L924" s="16" t="str">
        <x:f>IF(COUNT(H924,J924)=0,"",AVERAGE(H924,J924))</x:f>
      </x:c>
      <x:c r="M924" s="16" t="str">
        <x:f>IF(OR(K924="",L924=""),"",L924-K924)</x:f>
      </x:c>
      <x:c r="N924" s="16" t="str">
        <x:f>IF(AND(A924=A923,ISNUMBER(K924),ISNUMBER(K923)),K924-K923,"")</x:f>
      </x:c>
      <x:c r="O924" s="13" t="str">
        <x:v>Sem informação</x:v>
      </x:c>
      <x:c r="P924" s="26"/>
      <x:c r="Q924" s="13" t="str"/>
      <x:c r="R924" s="13" t="str"/>
      <x:c r="S924" s="13" t="str"/>
      <x:c r="T924" s="13" t="str"/>
    </x:row>
    <x:row r="925">
      <x:c r="A925" s="13" t="str">
        <x:v>Kevin</x:v>
      </x:c>
      <x:c r="B925" s="13" t="n">
        <x:v>2026</x:v>
      </x:c>
      <x:c r="C925" s="13" t="str">
        <x:v>T4</x:v>
      </x:c>
      <x:c r="D925" s="24" t="n">
        <x:v>46387</x:v>
      </x:c>
      <x:c r="E925" s="13" t="str">
        <x:v>Ponta-esquerda</x:v>
      </x:c>
      <x:c r="F925" s="13" t="str">
        <x:v>FC Fulham</x:v>
      </x:c>
      <x:c r="G925" s="16"/>
      <x:c r="H925" s="16"/>
      <x:c r="I925" s="16"/>
      <x:c r="J925" s="16"/>
      <x:c r="K925" s="16" t="str">
        <x:f>IF(COUNT(G925,I925)=0,"",AVERAGE(G925,I925))</x:f>
      </x:c>
      <x:c r="L925" s="16" t="str">
        <x:f>IF(COUNT(H925,J925)=0,"",AVERAGE(H925,J925))</x:f>
      </x:c>
      <x:c r="M925" s="16" t="str">
        <x:f>IF(OR(K925="",L925=""),"",L925-K925)</x:f>
      </x:c>
      <x:c r="N925" s="16" t="str">
        <x:f>IF(AND(A925=A924,ISNUMBER(K925),ISNUMBER(K924)),K925-K924,"")</x:f>
      </x:c>
      <x:c r="O925" s="13" t="str">
        <x:v>Sem informação</x:v>
      </x:c>
      <x:c r="P925" s="26"/>
      <x:c r="Q925" s="13" t="str"/>
      <x:c r="R925" s="13" t="str"/>
      <x:c r="S925" s="13" t="str"/>
      <x:c r="T925" s="13" t="str"/>
    </x:row>
    <x:row r="926">
      <x:c r="A926" s="13" t="str">
        <x:v>Kevin</x:v>
      </x:c>
      <x:c r="B926" s="13" t="n">
        <x:v>2027</x:v>
      </x:c>
      <x:c r="C926" s="13" t="str">
        <x:v>T1</x:v>
      </x:c>
      <x:c r="D926" s="24" t="n">
        <x:v>46477</x:v>
      </x:c>
      <x:c r="E926" s="13" t="str">
        <x:v>Ponta-esquerda</x:v>
      </x:c>
      <x:c r="F926" s="13" t="str">
        <x:v>FC Fulham</x:v>
      </x:c>
      <x:c r="G926" s="16"/>
      <x:c r="H926" s="16"/>
      <x:c r="I926" s="16"/>
      <x:c r="J926" s="16"/>
      <x:c r="K926" s="16" t="str">
        <x:f>IF(COUNT(G926,I926)=0,"",AVERAGE(G926,I926))</x:f>
      </x:c>
      <x:c r="L926" s="16" t="str">
        <x:f>IF(COUNT(H926,J926)=0,"",AVERAGE(H926,J926))</x:f>
      </x:c>
      <x:c r="M926" s="16" t="str">
        <x:f>IF(OR(K926="",L926=""),"",L926-K926)</x:f>
      </x:c>
      <x:c r="N926" s="16" t="str">
        <x:f>IF(AND(A926=A925,ISNUMBER(K926),ISNUMBER(K925)),K926-K925,"")</x:f>
      </x:c>
      <x:c r="O926" s="13" t="str">
        <x:v>Sem informação</x:v>
      </x:c>
      <x:c r="P926" s="26"/>
      <x:c r="Q926" s="13" t="str"/>
      <x:c r="R926" s="13" t="str"/>
      <x:c r="S926" s="13" t="str"/>
      <x:c r="T926" s="13" t="str"/>
    </x:row>
    <x:row r="927">
      <x:c r="A927" s="13" t="str">
        <x:v>Kevin</x:v>
      </x:c>
      <x:c r="B927" s="13" t="n">
        <x:v>2027</x:v>
      </x:c>
      <x:c r="C927" s="13" t="str">
        <x:v>T2</x:v>
      </x:c>
      <x:c r="D927" s="24" t="n">
        <x:v>46568</x:v>
      </x:c>
      <x:c r="E927" s="13" t="str">
        <x:v>Ponta-esquerda</x:v>
      </x:c>
      <x:c r="F927" s="13" t="str">
        <x:v>FC Fulham</x:v>
      </x:c>
      <x:c r="G927" s="16"/>
      <x:c r="H927" s="16"/>
      <x:c r="I927" s="16"/>
      <x:c r="J927" s="16"/>
      <x:c r="K927" s="16" t="str">
        <x:f>IF(COUNT(G927,I927)=0,"",AVERAGE(G927,I927))</x:f>
      </x:c>
      <x:c r="L927" s="16" t="str">
        <x:f>IF(COUNT(H927,J927)=0,"",AVERAGE(H927,J927))</x:f>
      </x:c>
      <x:c r="M927" s="16" t="str">
        <x:f>IF(OR(K927="",L927=""),"",L927-K927)</x:f>
      </x:c>
      <x:c r="N927" s="16" t="str">
        <x:f>IF(AND(A927=A926,ISNUMBER(K927),ISNUMBER(K926)),K927-K926,"")</x:f>
      </x:c>
      <x:c r="O927" s="13" t="str">
        <x:v>Sem informação</x:v>
      </x:c>
      <x:c r="P927" s="26"/>
      <x:c r="Q927" s="13" t="str"/>
      <x:c r="R927" s="13" t="str"/>
      <x:c r="S927" s="13" t="str"/>
      <x:c r="T927" s="13" t="str"/>
    </x:row>
    <x:row r="928">
      <x:c r="A928" s="13" t="str">
        <x:v>Kevin</x:v>
      </x:c>
      <x:c r="B928" s="13" t="n">
        <x:v>2027</x:v>
      </x:c>
      <x:c r="C928" s="13" t="str">
        <x:v>T3</x:v>
      </x:c>
      <x:c r="D928" s="24" t="n">
        <x:v>46660</x:v>
      </x:c>
      <x:c r="E928" s="13" t="str">
        <x:v>Ponta-esquerda</x:v>
      </x:c>
      <x:c r="F928" s="13" t="str">
        <x:v>FC Fulham</x:v>
      </x:c>
      <x:c r="G928" s="16"/>
      <x:c r="H928" s="16"/>
      <x:c r="I928" s="16"/>
      <x:c r="J928" s="16"/>
      <x:c r="K928" s="16" t="str">
        <x:f>IF(COUNT(G928,I928)=0,"",AVERAGE(G928,I928))</x:f>
      </x:c>
      <x:c r="L928" s="16" t="str">
        <x:f>IF(COUNT(H928,J928)=0,"",AVERAGE(H928,J928))</x:f>
      </x:c>
      <x:c r="M928" s="16" t="str">
        <x:f>IF(OR(K928="",L928=""),"",L928-K928)</x:f>
      </x:c>
      <x:c r="N928" s="16" t="str">
        <x:f>IF(AND(A928=A927,ISNUMBER(K928),ISNUMBER(K927)),K928-K927,"")</x:f>
      </x:c>
      <x:c r="O928" s="13" t="str">
        <x:v>Sem informação</x:v>
      </x:c>
      <x:c r="P928" s="26"/>
      <x:c r="Q928" s="13" t="str"/>
      <x:c r="R928" s="13" t="str"/>
      <x:c r="S928" s="13" t="str"/>
      <x:c r="T928" s="13" t="str"/>
    </x:row>
    <x:row r="929">
      <x:c r="A929" s="13" t="str">
        <x:v>Kevin</x:v>
      </x:c>
      <x:c r="B929" s="13" t="n">
        <x:v>2027</x:v>
      </x:c>
      <x:c r="C929" s="13" t="str">
        <x:v>T4</x:v>
      </x:c>
      <x:c r="D929" s="24" t="n">
        <x:v>46752</x:v>
      </x:c>
      <x:c r="E929" s="13" t="str">
        <x:v>Ponta-esquerda</x:v>
      </x:c>
      <x:c r="F929" s="13" t="str">
        <x:v>FC Fulham</x:v>
      </x:c>
      <x:c r="G929" s="16"/>
      <x:c r="H929" s="16"/>
      <x:c r="I929" s="16"/>
      <x:c r="J929" s="16"/>
      <x:c r="K929" s="16" t="str">
        <x:f>IF(COUNT(G929,I929)=0,"",AVERAGE(G929,I929))</x:f>
      </x:c>
      <x:c r="L929" s="16" t="str">
        <x:f>IF(COUNT(H929,J929)=0,"",AVERAGE(H929,J929))</x:f>
      </x:c>
      <x:c r="M929" s="16" t="str">
        <x:f>IF(OR(K929="",L929=""),"",L929-K929)</x:f>
      </x:c>
      <x:c r="N929" s="16" t="str">
        <x:f>IF(AND(A929=A928,ISNUMBER(K929),ISNUMBER(K928)),K929-K928,"")</x:f>
      </x:c>
      <x:c r="O929" s="13" t="str">
        <x:v>Sem informação</x:v>
      </x:c>
      <x:c r="P929" s="26"/>
      <x:c r="Q929" s="13" t="str"/>
      <x:c r="R929" s="13" t="str"/>
      <x:c r="S929" s="13" t="str"/>
      <x:c r="T929" s="13" t="str"/>
    </x:row>
    <x:row r="930">
      <x:c r="A930" s="13" t="str">
        <x:v>Kevin</x:v>
      </x:c>
      <x:c r="B930" s="13" t="n">
        <x:v>2028</x:v>
      </x:c>
      <x:c r="C930" s="13" t="str">
        <x:v>T1</x:v>
      </x:c>
      <x:c r="D930" s="24" t="n">
        <x:v>46843</x:v>
      </x:c>
      <x:c r="E930" s="13" t="str">
        <x:v>Ponta-esquerda</x:v>
      </x:c>
      <x:c r="F930" s="13" t="str">
        <x:v>FC Fulham</x:v>
      </x:c>
      <x:c r="G930" s="16"/>
      <x:c r="H930" s="16"/>
      <x:c r="I930" s="16"/>
      <x:c r="J930" s="16"/>
      <x:c r="K930" s="16" t="str">
        <x:f>IF(COUNT(G930,I930)=0,"",AVERAGE(G930,I930))</x:f>
      </x:c>
      <x:c r="L930" s="16" t="str">
        <x:f>IF(COUNT(H930,J930)=0,"",AVERAGE(H930,J930))</x:f>
      </x:c>
      <x:c r="M930" s="16" t="str">
        <x:f>IF(OR(K930="",L930=""),"",L930-K930)</x:f>
      </x:c>
      <x:c r="N930" s="16" t="str">
        <x:f>IF(AND(A930=A929,ISNUMBER(K930),ISNUMBER(K929)),K930-K929,"")</x:f>
      </x:c>
      <x:c r="O930" s="13" t="str">
        <x:v>Sem informação</x:v>
      </x:c>
      <x:c r="P930" s="26"/>
      <x:c r="Q930" s="13" t="str"/>
      <x:c r="R930" s="13" t="str"/>
      <x:c r="S930" s="13" t="str"/>
      <x:c r="T930" s="13" t="str"/>
    </x:row>
    <x:row r="931">
      <x:c r="A931" s="13" t="str">
        <x:v>Kevin</x:v>
      </x:c>
      <x:c r="B931" s="13" t="n">
        <x:v>2028</x:v>
      </x:c>
      <x:c r="C931" s="13" t="str">
        <x:v>T2</x:v>
      </x:c>
      <x:c r="D931" s="24" t="n">
        <x:v>46934</x:v>
      </x:c>
      <x:c r="E931" s="13" t="str">
        <x:v>Ponta-esquerda</x:v>
      </x:c>
      <x:c r="F931" s="13" t="str">
        <x:v>FC Fulham</x:v>
      </x:c>
      <x:c r="G931" s="16"/>
      <x:c r="H931" s="16"/>
      <x:c r="I931" s="16"/>
      <x:c r="J931" s="16"/>
      <x:c r="K931" s="16" t="str">
        <x:f>IF(COUNT(G931,I931)=0,"",AVERAGE(G931,I931))</x:f>
      </x:c>
      <x:c r="L931" s="16" t="str">
        <x:f>IF(COUNT(H931,J931)=0,"",AVERAGE(H931,J931))</x:f>
      </x:c>
      <x:c r="M931" s="16" t="str">
        <x:f>IF(OR(K931="",L931=""),"",L931-K931)</x:f>
      </x:c>
      <x:c r="N931" s="16" t="str">
        <x:f>IF(AND(A931=A930,ISNUMBER(K931),ISNUMBER(K930)),K931-K930,"")</x:f>
      </x:c>
      <x:c r="O931" s="13" t="str">
        <x:v>Sem informação</x:v>
      </x:c>
      <x:c r="P931" s="26"/>
      <x:c r="Q931" s="13" t="str"/>
      <x:c r="R931" s="13" t="str"/>
      <x:c r="S931" s="13" t="str"/>
      <x:c r="T931" s="13" t="str"/>
    </x:row>
    <x:row r="932">
      <x:c r="A932" s="13" t="str">
        <x:v>Kevin</x:v>
      </x:c>
      <x:c r="B932" s="13" t="n">
        <x:v>2028</x:v>
      </x:c>
      <x:c r="C932" s="13" t="str">
        <x:v>T3</x:v>
      </x:c>
      <x:c r="D932" s="24" t="n">
        <x:v>47026</x:v>
      </x:c>
      <x:c r="E932" s="13" t="str">
        <x:v>Ponta-esquerda</x:v>
      </x:c>
      <x:c r="F932" s="13" t="str">
        <x:v>FC Fulham</x:v>
      </x:c>
      <x:c r="G932" s="16"/>
      <x:c r="H932" s="16"/>
      <x:c r="I932" s="16"/>
      <x:c r="J932" s="16"/>
      <x:c r="K932" s="16" t="str">
        <x:f>IF(COUNT(G932,I932)=0,"",AVERAGE(G932,I932))</x:f>
      </x:c>
      <x:c r="L932" s="16" t="str">
        <x:f>IF(COUNT(H932,J932)=0,"",AVERAGE(H932,J932))</x:f>
      </x:c>
      <x:c r="M932" s="16" t="str">
        <x:f>IF(OR(K932="",L932=""),"",L932-K932)</x:f>
      </x:c>
      <x:c r="N932" s="16" t="str">
        <x:f>IF(AND(A932=A931,ISNUMBER(K932),ISNUMBER(K931)),K932-K931,"")</x:f>
      </x:c>
      <x:c r="O932" s="13" t="str">
        <x:v>Sem informação</x:v>
      </x:c>
      <x:c r="P932" s="26"/>
      <x:c r="Q932" s="13" t="str"/>
      <x:c r="R932" s="13" t="str"/>
      <x:c r="S932" s="13" t="str"/>
      <x:c r="T932" s="13" t="str"/>
    </x:row>
    <x:row r="933">
      <x:c r="A933" s="13" t="str">
        <x:v>Kevin</x:v>
      </x:c>
      <x:c r="B933" s="13" t="n">
        <x:v>2028</x:v>
      </x:c>
      <x:c r="C933" s="13" t="str">
        <x:v>T4</x:v>
      </x:c>
      <x:c r="D933" s="24" t="n">
        <x:v>47118</x:v>
      </x:c>
      <x:c r="E933" s="13" t="str">
        <x:v>Ponta-esquerda</x:v>
      </x:c>
      <x:c r="F933" s="13" t="str">
        <x:v>FC Fulham</x:v>
      </x:c>
      <x:c r="G933" s="16"/>
      <x:c r="H933" s="16"/>
      <x:c r="I933" s="16"/>
      <x:c r="J933" s="16"/>
      <x:c r="K933" s="16" t="str">
        <x:f>IF(COUNT(G933,I933)=0,"",AVERAGE(G933,I933))</x:f>
      </x:c>
      <x:c r="L933" s="16" t="str">
        <x:f>IF(COUNT(H933,J933)=0,"",AVERAGE(H933,J933))</x:f>
      </x:c>
      <x:c r="M933" s="16" t="str">
        <x:f>IF(OR(K933="",L933=""),"",L933-K933)</x:f>
      </x:c>
      <x:c r="N933" s="16" t="str">
        <x:f>IF(AND(A933=A932,ISNUMBER(K933),ISNUMBER(K932)),K933-K932,"")</x:f>
      </x:c>
      <x:c r="O933" s="13" t="str">
        <x:v>Sem informação</x:v>
      </x:c>
      <x:c r="P933" s="26"/>
      <x:c r="Q933" s="13" t="str"/>
      <x:c r="R933" s="13" t="str"/>
      <x:c r="S933" s="13" t="str"/>
      <x:c r="T933" s="13" t="str"/>
    </x:row>
    <x:row r="934">
      <x:c r="A934" s="13" t="str">
        <x:v>Kevin</x:v>
      </x:c>
      <x:c r="B934" s="13" t="n">
        <x:v>2029</x:v>
      </x:c>
      <x:c r="C934" s="13" t="str">
        <x:v>T1</x:v>
      </x:c>
      <x:c r="D934" s="24" t="n">
        <x:v>47208</x:v>
      </x:c>
      <x:c r="E934" s="13" t="str">
        <x:v>Ponta-esquerda</x:v>
      </x:c>
      <x:c r="F934" s="13" t="str">
        <x:v>FC Fulham</x:v>
      </x:c>
      <x:c r="G934" s="16"/>
      <x:c r="H934" s="16"/>
      <x:c r="I934" s="16"/>
      <x:c r="J934" s="16"/>
      <x:c r="K934" s="16" t="str">
        <x:f>IF(COUNT(G934,I934)=0,"",AVERAGE(G934,I934))</x:f>
      </x:c>
      <x:c r="L934" s="16" t="str">
        <x:f>IF(COUNT(H934,J934)=0,"",AVERAGE(H934,J934))</x:f>
      </x:c>
      <x:c r="M934" s="16" t="str">
        <x:f>IF(OR(K934="",L934=""),"",L934-K934)</x:f>
      </x:c>
      <x:c r="N934" s="16" t="str">
        <x:f>IF(AND(A934=A933,ISNUMBER(K934),ISNUMBER(K933)),K934-K933,"")</x:f>
      </x:c>
      <x:c r="O934" s="13" t="str">
        <x:v>Sem informação</x:v>
      </x:c>
      <x:c r="P934" s="26"/>
      <x:c r="Q934" s="13" t="str"/>
      <x:c r="R934" s="13" t="str"/>
      <x:c r="S934" s="13" t="str"/>
      <x:c r="T934" s="13" t="str"/>
    </x:row>
    <x:row r="935">
      <x:c r="A935" s="13" t="str">
        <x:v>Kevin</x:v>
      </x:c>
      <x:c r="B935" s="13" t="n">
        <x:v>2029</x:v>
      </x:c>
      <x:c r="C935" s="13" t="str">
        <x:v>T2</x:v>
      </x:c>
      <x:c r="D935" s="24" t="n">
        <x:v>47299</x:v>
      </x:c>
      <x:c r="E935" s="13" t="str">
        <x:v>Ponta-esquerda</x:v>
      </x:c>
      <x:c r="F935" s="13" t="str">
        <x:v>FC Fulham</x:v>
      </x:c>
      <x:c r="G935" s="16"/>
      <x:c r="H935" s="16"/>
      <x:c r="I935" s="16"/>
      <x:c r="J935" s="16"/>
      <x:c r="K935" s="16" t="str">
        <x:f>IF(COUNT(G935,I935)=0,"",AVERAGE(G935,I935))</x:f>
      </x:c>
      <x:c r="L935" s="16" t="str">
        <x:f>IF(COUNT(H935,J935)=0,"",AVERAGE(H935,J935))</x:f>
      </x:c>
      <x:c r="M935" s="16" t="str">
        <x:f>IF(OR(K935="",L935=""),"",L935-K935)</x:f>
      </x:c>
      <x:c r="N935" s="16" t="str">
        <x:f>IF(AND(A935=A934,ISNUMBER(K935),ISNUMBER(K934)),K935-K934,"")</x:f>
      </x:c>
      <x:c r="O935" s="13" t="str">
        <x:v>Sem informação</x:v>
      </x:c>
      <x:c r="P935" s="26"/>
      <x:c r="Q935" s="13" t="str"/>
      <x:c r="R935" s="13" t="str"/>
      <x:c r="S935" s="13" t="str"/>
      <x:c r="T935" s="13" t="str"/>
    </x:row>
    <x:row r="936">
      <x:c r="A936" s="13" t="str">
        <x:v>Kevin</x:v>
      </x:c>
      <x:c r="B936" s="13" t="n">
        <x:v>2029</x:v>
      </x:c>
      <x:c r="C936" s="13" t="str">
        <x:v>T3</x:v>
      </x:c>
      <x:c r="D936" s="24" t="n">
        <x:v>47391</x:v>
      </x:c>
      <x:c r="E936" s="13" t="str">
        <x:v>Ponta-esquerda</x:v>
      </x:c>
      <x:c r="F936" s="13" t="str">
        <x:v>FC Fulham</x:v>
      </x:c>
      <x:c r="G936" s="16"/>
      <x:c r="H936" s="16"/>
      <x:c r="I936" s="16"/>
      <x:c r="J936" s="16"/>
      <x:c r="K936" s="16" t="str">
        <x:f>IF(COUNT(G936,I936)=0,"",AVERAGE(G936,I936))</x:f>
      </x:c>
      <x:c r="L936" s="16" t="str">
        <x:f>IF(COUNT(H936,J936)=0,"",AVERAGE(H936,J936))</x:f>
      </x:c>
      <x:c r="M936" s="16" t="str">
        <x:f>IF(OR(K936="",L936=""),"",L936-K936)</x:f>
      </x:c>
      <x:c r="N936" s="16" t="str">
        <x:f>IF(AND(A936=A935,ISNUMBER(K936),ISNUMBER(K935)),K936-K935,"")</x:f>
      </x:c>
      <x:c r="O936" s="13" t="str">
        <x:v>Sem informação</x:v>
      </x:c>
      <x:c r="P936" s="26"/>
      <x:c r="Q936" s="13" t="str"/>
      <x:c r="R936" s="13" t="str"/>
      <x:c r="S936" s="13" t="str"/>
      <x:c r="T936" s="13" t="str"/>
    </x:row>
    <x:row r="937">
      <x:c r="A937" s="13" t="str">
        <x:v>Kevin</x:v>
      </x:c>
      <x:c r="B937" s="13" t="n">
        <x:v>2029</x:v>
      </x:c>
      <x:c r="C937" s="13" t="str">
        <x:v>T4</x:v>
      </x:c>
      <x:c r="D937" s="24" t="n">
        <x:v>47483</x:v>
      </x:c>
      <x:c r="E937" s="13" t="str">
        <x:v>Ponta-esquerda</x:v>
      </x:c>
      <x:c r="F937" s="13" t="str">
        <x:v>FC Fulham</x:v>
      </x:c>
      <x:c r="G937" s="16"/>
      <x:c r="H937" s="16"/>
      <x:c r="I937" s="16"/>
      <x:c r="J937" s="16"/>
      <x:c r="K937" s="16" t="str">
        <x:f>IF(COUNT(G937,I937)=0,"",AVERAGE(G937,I937))</x:f>
      </x:c>
      <x:c r="L937" s="16" t="str">
        <x:f>IF(COUNT(H937,J937)=0,"",AVERAGE(H937,J937))</x:f>
      </x:c>
      <x:c r="M937" s="16" t="str">
        <x:f>IF(OR(K937="",L937=""),"",L937-K937)</x:f>
      </x:c>
      <x:c r="N937" s="16" t="str">
        <x:f>IF(AND(A937=A936,ISNUMBER(K937),ISNUMBER(K936)),K937-K936,"")</x:f>
      </x:c>
      <x:c r="O937" s="13" t="str">
        <x:v>Sem informação</x:v>
      </x:c>
      <x:c r="P937" s="26"/>
      <x:c r="Q937" s="13" t="str"/>
      <x:c r="R937" s="13" t="str"/>
      <x:c r="S937" s="13" t="str"/>
      <x:c r="T937" s="13" t="str"/>
    </x:row>
    <x:row r="938">
      <x:c r="A938" s="13" t="str">
        <x:v>Kevin</x:v>
      </x:c>
      <x:c r="B938" s="13" t="n">
        <x:v>2030</x:v>
      </x:c>
      <x:c r="C938" s="13" t="str">
        <x:v>T1</x:v>
      </x:c>
      <x:c r="D938" s="24" t="n">
        <x:v>47573</x:v>
      </x:c>
      <x:c r="E938" s="13" t="str">
        <x:v>Ponta-esquerda</x:v>
      </x:c>
      <x:c r="F938" s="13" t="str">
        <x:v>FC Fulham</x:v>
      </x:c>
      <x:c r="G938" s="16"/>
      <x:c r="H938" s="16"/>
      <x:c r="I938" s="16"/>
      <x:c r="J938" s="16"/>
      <x:c r="K938" s="16" t="str">
        <x:f>IF(COUNT(G938,I938)=0,"",AVERAGE(G938,I938))</x:f>
      </x:c>
      <x:c r="L938" s="16" t="str">
        <x:f>IF(COUNT(H938,J938)=0,"",AVERAGE(H938,J938))</x:f>
      </x:c>
      <x:c r="M938" s="16" t="str">
        <x:f>IF(OR(K938="",L938=""),"",L938-K938)</x:f>
      </x:c>
      <x:c r="N938" s="16" t="str">
        <x:f>IF(AND(A938=A937,ISNUMBER(K938),ISNUMBER(K937)),K938-K937,"")</x:f>
      </x:c>
      <x:c r="O938" s="13" t="str">
        <x:v>Sem informação</x:v>
      </x:c>
      <x:c r="P938" s="26"/>
      <x:c r="Q938" s="13" t="str"/>
      <x:c r="R938" s="13" t="str"/>
      <x:c r="S938" s="13" t="str"/>
      <x:c r="T938" s="13" t="str"/>
    </x:row>
    <x:row r="939">
      <x:c r="A939" s="13" t="str">
        <x:v>Kevin</x:v>
      </x:c>
      <x:c r="B939" s="13" t="n">
        <x:v>2030</x:v>
      </x:c>
      <x:c r="C939" s="13" t="str">
        <x:v>T2</x:v>
      </x:c>
      <x:c r="D939" s="24" t="n">
        <x:v>47664</x:v>
      </x:c>
      <x:c r="E939" s="13" t="str">
        <x:v>Ponta-esquerda</x:v>
      </x:c>
      <x:c r="F939" s="13" t="str">
        <x:v>FC Fulham</x:v>
      </x:c>
      <x:c r="G939" s="16"/>
      <x:c r="H939" s="16"/>
      <x:c r="I939" s="16"/>
      <x:c r="J939" s="16"/>
      <x:c r="K939" s="16" t="str">
        <x:f>IF(COUNT(G939,I939)=0,"",AVERAGE(G939,I939))</x:f>
      </x:c>
      <x:c r="L939" s="16" t="str">
        <x:f>IF(COUNT(H939,J939)=0,"",AVERAGE(H939,J939))</x:f>
      </x:c>
      <x:c r="M939" s="16" t="str">
        <x:f>IF(OR(K939="",L939=""),"",L939-K939)</x:f>
      </x:c>
      <x:c r="N939" s="16" t="str">
        <x:f>IF(AND(A939=A938,ISNUMBER(K939),ISNUMBER(K938)),K939-K938,"")</x:f>
      </x:c>
      <x:c r="O939" s="13" t="str">
        <x:v>Sem informação</x:v>
      </x:c>
      <x:c r="P939" s="26"/>
      <x:c r="Q939" s="13" t="str"/>
      <x:c r="R939" s="13" t="str"/>
      <x:c r="S939" s="13" t="str"/>
      <x:c r="T939" s="13" t="str"/>
    </x:row>
    <x:row r="940">
      <x:c r="A940" s="13" t="str">
        <x:v>Kevin</x:v>
      </x:c>
      <x:c r="B940" s="13" t="n">
        <x:v>2030</x:v>
      </x:c>
      <x:c r="C940" s="13" t="str">
        <x:v>T3</x:v>
      </x:c>
      <x:c r="D940" s="24" t="n">
        <x:v>47756</x:v>
      </x:c>
      <x:c r="E940" s="13" t="str">
        <x:v>Ponta-esquerda</x:v>
      </x:c>
      <x:c r="F940" s="13" t="str">
        <x:v>FC Fulham</x:v>
      </x:c>
      <x:c r="G940" s="16"/>
      <x:c r="H940" s="16"/>
      <x:c r="I940" s="16"/>
      <x:c r="J940" s="16"/>
      <x:c r="K940" s="16" t="str">
        <x:f>IF(COUNT(G940,I940)=0,"",AVERAGE(G940,I940))</x:f>
      </x:c>
      <x:c r="L940" s="16" t="str">
        <x:f>IF(COUNT(H940,J940)=0,"",AVERAGE(H940,J940))</x:f>
      </x:c>
      <x:c r="M940" s="16" t="str">
        <x:f>IF(OR(K940="",L940=""),"",L940-K940)</x:f>
      </x:c>
      <x:c r="N940" s="16" t="str">
        <x:f>IF(AND(A940=A939,ISNUMBER(K940),ISNUMBER(K939)),K940-K939,"")</x:f>
      </x:c>
      <x:c r="O940" s="13" t="str">
        <x:v>Sem informação</x:v>
      </x:c>
      <x:c r="P940" s="26"/>
      <x:c r="Q940" s="13" t="str"/>
      <x:c r="R940" s="13" t="str"/>
      <x:c r="S940" s="13" t="str"/>
      <x:c r="T940" s="13" t="str"/>
    </x:row>
    <x:row r="941">
      <x:c r="A941" s="13" t="str">
        <x:v>Kevin</x:v>
      </x:c>
      <x:c r="B941" s="13" t="n">
        <x:v>2030</x:v>
      </x:c>
      <x:c r="C941" s="13" t="str">
        <x:v>T4</x:v>
      </x:c>
      <x:c r="D941" s="24" t="n">
        <x:v>47848</x:v>
      </x:c>
      <x:c r="E941" s="13" t="str">
        <x:v>Ponta-esquerda</x:v>
      </x:c>
      <x:c r="F941" s="13" t="str">
        <x:v>FC Fulham</x:v>
      </x:c>
      <x:c r="G941" s="16"/>
      <x:c r="H941" s="16"/>
      <x:c r="I941" s="16"/>
      <x:c r="J941" s="16"/>
      <x:c r="K941" s="16" t="str">
        <x:f>IF(COUNT(G941,I941)=0,"",AVERAGE(G941,I941))</x:f>
      </x:c>
      <x:c r="L941" s="16" t="str">
        <x:f>IF(COUNT(H941,J941)=0,"",AVERAGE(H941,J941))</x:f>
      </x:c>
      <x:c r="M941" s="16" t="str">
        <x:f>IF(OR(K941="",L941=""),"",L941-K941)</x:f>
      </x:c>
      <x:c r="N941" s="16" t="str">
        <x:f>IF(AND(A941=A940,ISNUMBER(K941),ISNUMBER(K940)),K941-K940,"")</x:f>
      </x:c>
      <x:c r="O941" s="13" t="str">
        <x:v>Sem informação</x:v>
      </x:c>
      <x:c r="P941" s="26"/>
      <x:c r="Q941" s="13" t="str"/>
      <x:c r="R941" s="13" t="str"/>
      <x:c r="S941" s="13" t="str"/>
      <x:c r="T941" s="13" t="str"/>
    </x:row>
    <x:row r="942">
      <x:c r="A942" s="13" t="str">
        <x:v>Lucca Meirelles</x:v>
      </x:c>
      <x:c r="B942" s="13" t="n">
        <x:v>2026</x:v>
      </x:c>
      <x:c r="C942" s="13" t="str">
        <x:v>T1</x:v>
      </x:c>
      <x:c r="D942" s="24" t="n">
        <x:v>46112</x:v>
      </x:c>
      <x:c r="E942" s="13" t="str">
        <x:v>Centroavante</x:v>
      </x:c>
      <x:c r="F942" s="13" t="str">
        <x:v>Shakhtar Donetsk</x:v>
      </x:c>
      <x:c r="G942" s="16"/>
      <x:c r="H942" s="16"/>
      <x:c r="I942" s="16"/>
      <x:c r="J942" s="16"/>
      <x:c r="K942" s="16" t="str">
        <x:f>IF(COUNT(G942,I942)=0,"",AVERAGE(G942,I942))</x:f>
      </x:c>
      <x:c r="L942" s="16" t="str">
        <x:f>IF(COUNT(H942,J942)=0,"",AVERAGE(H942,J942))</x:f>
      </x:c>
      <x:c r="M942" s="16" t="str">
        <x:f>IF(OR(K942="",L942=""),"",L942-K942)</x:f>
      </x:c>
      <x:c r="N942" s="16" t="str">
        <x:f>""</x:f>
      </x:c>
      <x:c r="O942" s="13" t="str">
        <x:v>Sem informação</x:v>
      </x:c>
      <x:c r="P942" s="26"/>
      <x:c r="Q942" s="13" t="str"/>
      <x:c r="R942" s="13" t="str"/>
      <x:c r="S942" s="13" t="str"/>
      <x:c r="T942" s="13" t="str"/>
    </x:row>
    <x:row r="943">
      <x:c r="A943" s="13" t="str">
        <x:v>Lucca Meirelles</x:v>
      </x:c>
      <x:c r="B943" s="13" t="n">
        <x:v>2026</x:v>
      </x:c>
      <x:c r="C943" s="13" t="str">
        <x:v>T2</x:v>
      </x:c>
      <x:c r="D943" s="24" t="n">
        <x:v>46203</x:v>
      </x:c>
      <x:c r="E943" s="13" t="str">
        <x:v>Centroavante</x:v>
      </x:c>
      <x:c r="F943" s="13" t="str">
        <x:v>Shakhtar Donetsk</x:v>
      </x:c>
      <x:c r="G943" s="16"/>
      <x:c r="H943" s="16"/>
      <x:c r="I943" s="16"/>
      <x:c r="J943" s="16"/>
      <x:c r="K943" s="16" t="str">
        <x:f>IF(COUNT(G943,I943)=0,"",AVERAGE(G943,I943))</x:f>
      </x:c>
      <x:c r="L943" s="16" t="str">
        <x:f>IF(COUNT(H943,J943)=0,"",AVERAGE(H943,J943))</x:f>
      </x:c>
      <x:c r="M943" s="16" t="str">
        <x:f>IF(OR(K943="",L943=""),"",L943-K943)</x:f>
      </x:c>
      <x:c r="N943" s="16" t="str">
        <x:f>IF(AND(A943=A942,ISNUMBER(K943),ISNUMBER(K942)),K943-K942,"")</x:f>
      </x:c>
      <x:c r="O943" s="13" t="str">
        <x:v>Sem informação</x:v>
      </x:c>
      <x:c r="P943" s="26"/>
      <x:c r="Q943" s="13" t="str"/>
      <x:c r="R943" s="13" t="str"/>
      <x:c r="S943" s="13" t="str"/>
      <x:c r="T943" s="13" t="str"/>
    </x:row>
    <x:row r="944">
      <x:c r="A944" s="13" t="str">
        <x:v>Lucca Meirelles</x:v>
      </x:c>
      <x:c r="B944" s="13" t="n">
        <x:v>2026</x:v>
      </x:c>
      <x:c r="C944" s="13" t="str">
        <x:v>T3</x:v>
      </x:c>
      <x:c r="D944" s="24" t="n">
        <x:v>46295</x:v>
      </x:c>
      <x:c r="E944" s="13" t="str">
        <x:v>Centroavante</x:v>
      </x:c>
      <x:c r="F944" s="13" t="str">
        <x:v>Shakhtar Donetsk</x:v>
      </x:c>
      <x:c r="G944" s="16"/>
      <x:c r="H944" s="16"/>
      <x:c r="I944" s="16"/>
      <x:c r="J944" s="16"/>
      <x:c r="K944" s="16" t="str">
        <x:f>IF(COUNT(G944,I944)=0,"",AVERAGE(G944,I944))</x:f>
      </x:c>
      <x:c r="L944" s="16" t="str">
        <x:f>IF(COUNT(H944,J944)=0,"",AVERAGE(H944,J944))</x:f>
      </x:c>
      <x:c r="M944" s="16" t="str">
        <x:f>IF(OR(K944="",L944=""),"",L944-K944)</x:f>
      </x:c>
      <x:c r="N944" s="16" t="str">
        <x:f>IF(AND(A944=A943,ISNUMBER(K944),ISNUMBER(K943)),K944-K943,"")</x:f>
      </x:c>
      <x:c r="O944" s="13" t="str">
        <x:v>Sem informação</x:v>
      </x:c>
      <x:c r="P944" s="26"/>
      <x:c r="Q944" s="13" t="str"/>
      <x:c r="R944" s="13" t="str"/>
      <x:c r="S944" s="13" t="str"/>
      <x:c r="T944" s="13" t="str"/>
    </x:row>
    <x:row r="945">
      <x:c r="A945" s="13" t="str">
        <x:v>Lucca Meirelles</x:v>
      </x:c>
      <x:c r="B945" s="13" t="n">
        <x:v>2026</x:v>
      </x:c>
      <x:c r="C945" s="13" t="str">
        <x:v>T4</x:v>
      </x:c>
      <x:c r="D945" s="24" t="n">
        <x:v>46387</x:v>
      </x:c>
      <x:c r="E945" s="13" t="str">
        <x:v>Centroavante</x:v>
      </x:c>
      <x:c r="F945" s="13" t="str">
        <x:v>Shakhtar Donetsk</x:v>
      </x:c>
      <x:c r="G945" s="16"/>
      <x:c r="H945" s="16"/>
      <x:c r="I945" s="16"/>
      <x:c r="J945" s="16"/>
      <x:c r="K945" s="16" t="str">
        <x:f>IF(COUNT(G945,I945)=0,"",AVERAGE(G945,I945))</x:f>
      </x:c>
      <x:c r="L945" s="16" t="str">
        <x:f>IF(COUNT(H945,J945)=0,"",AVERAGE(H945,J945))</x:f>
      </x:c>
      <x:c r="M945" s="16" t="str">
        <x:f>IF(OR(K945="",L945=""),"",L945-K945)</x:f>
      </x:c>
      <x:c r="N945" s="16" t="str">
        <x:f>IF(AND(A945=A944,ISNUMBER(K945),ISNUMBER(K944)),K945-K944,"")</x:f>
      </x:c>
      <x:c r="O945" s="13" t="str">
        <x:v>Sem informação</x:v>
      </x:c>
      <x:c r="P945" s="26"/>
      <x:c r="Q945" s="13" t="str"/>
      <x:c r="R945" s="13" t="str"/>
      <x:c r="S945" s="13" t="str"/>
      <x:c r="T945" s="13" t="str"/>
    </x:row>
    <x:row r="946">
      <x:c r="A946" s="13" t="str">
        <x:v>Lucca Meirelles</x:v>
      </x:c>
      <x:c r="B946" s="13" t="n">
        <x:v>2027</x:v>
      </x:c>
      <x:c r="C946" s="13" t="str">
        <x:v>T1</x:v>
      </x:c>
      <x:c r="D946" s="24" t="n">
        <x:v>46477</x:v>
      </x:c>
      <x:c r="E946" s="13" t="str">
        <x:v>Centroavante</x:v>
      </x:c>
      <x:c r="F946" s="13" t="str">
        <x:v>Shakhtar Donetsk</x:v>
      </x:c>
      <x:c r="G946" s="16"/>
      <x:c r="H946" s="16"/>
      <x:c r="I946" s="16"/>
      <x:c r="J946" s="16"/>
      <x:c r="K946" s="16" t="str">
        <x:f>IF(COUNT(G946,I946)=0,"",AVERAGE(G946,I946))</x:f>
      </x:c>
      <x:c r="L946" s="16" t="str">
        <x:f>IF(COUNT(H946,J946)=0,"",AVERAGE(H946,J946))</x:f>
      </x:c>
      <x:c r="M946" s="16" t="str">
        <x:f>IF(OR(K946="",L946=""),"",L946-K946)</x:f>
      </x:c>
      <x:c r="N946" s="16" t="str">
        <x:f>IF(AND(A946=A945,ISNUMBER(K946),ISNUMBER(K945)),K946-K945,"")</x:f>
      </x:c>
      <x:c r="O946" s="13" t="str">
        <x:v>Sem informação</x:v>
      </x:c>
      <x:c r="P946" s="26"/>
      <x:c r="Q946" s="13" t="str"/>
      <x:c r="R946" s="13" t="str"/>
      <x:c r="S946" s="13" t="str"/>
      <x:c r="T946" s="13" t="str"/>
    </x:row>
    <x:row r="947">
      <x:c r="A947" s="13" t="str">
        <x:v>Lucca Meirelles</x:v>
      </x:c>
      <x:c r="B947" s="13" t="n">
        <x:v>2027</x:v>
      </x:c>
      <x:c r="C947" s="13" t="str">
        <x:v>T2</x:v>
      </x:c>
      <x:c r="D947" s="24" t="n">
        <x:v>46568</x:v>
      </x:c>
      <x:c r="E947" s="13" t="str">
        <x:v>Centroavante</x:v>
      </x:c>
      <x:c r="F947" s="13" t="str">
        <x:v>Shakhtar Donetsk</x:v>
      </x:c>
      <x:c r="G947" s="16"/>
      <x:c r="H947" s="16"/>
      <x:c r="I947" s="16"/>
      <x:c r="J947" s="16"/>
      <x:c r="K947" s="16" t="str">
        <x:f>IF(COUNT(G947,I947)=0,"",AVERAGE(G947,I947))</x:f>
      </x:c>
      <x:c r="L947" s="16" t="str">
        <x:f>IF(COUNT(H947,J947)=0,"",AVERAGE(H947,J947))</x:f>
      </x:c>
      <x:c r="M947" s="16" t="str">
        <x:f>IF(OR(K947="",L947=""),"",L947-K947)</x:f>
      </x:c>
      <x:c r="N947" s="16" t="str">
        <x:f>IF(AND(A947=A946,ISNUMBER(K947),ISNUMBER(K946)),K947-K946,"")</x:f>
      </x:c>
      <x:c r="O947" s="13" t="str">
        <x:v>Sem informação</x:v>
      </x:c>
      <x:c r="P947" s="26"/>
      <x:c r="Q947" s="13" t="str"/>
      <x:c r="R947" s="13" t="str"/>
      <x:c r="S947" s="13" t="str"/>
      <x:c r="T947" s="13" t="str"/>
    </x:row>
    <x:row r="948">
      <x:c r="A948" s="13" t="str">
        <x:v>Lucca Meirelles</x:v>
      </x:c>
      <x:c r="B948" s="13" t="n">
        <x:v>2027</x:v>
      </x:c>
      <x:c r="C948" s="13" t="str">
        <x:v>T3</x:v>
      </x:c>
      <x:c r="D948" s="24" t="n">
        <x:v>46660</x:v>
      </x:c>
      <x:c r="E948" s="13" t="str">
        <x:v>Centroavante</x:v>
      </x:c>
      <x:c r="F948" s="13" t="str">
        <x:v>Shakhtar Donetsk</x:v>
      </x:c>
      <x:c r="G948" s="16"/>
      <x:c r="H948" s="16"/>
      <x:c r="I948" s="16"/>
      <x:c r="J948" s="16"/>
      <x:c r="K948" s="16" t="str">
        <x:f>IF(COUNT(G948,I948)=0,"",AVERAGE(G948,I948))</x:f>
      </x:c>
      <x:c r="L948" s="16" t="str">
        <x:f>IF(COUNT(H948,J948)=0,"",AVERAGE(H948,J948))</x:f>
      </x:c>
      <x:c r="M948" s="16" t="str">
        <x:f>IF(OR(K948="",L948=""),"",L948-K948)</x:f>
      </x:c>
      <x:c r="N948" s="16" t="str">
        <x:f>IF(AND(A948=A947,ISNUMBER(K948),ISNUMBER(K947)),K948-K947,"")</x:f>
      </x:c>
      <x:c r="O948" s="13" t="str">
        <x:v>Sem informação</x:v>
      </x:c>
      <x:c r="P948" s="26"/>
      <x:c r="Q948" s="13" t="str"/>
      <x:c r="R948" s="13" t="str"/>
      <x:c r="S948" s="13" t="str"/>
      <x:c r="T948" s="13" t="str"/>
    </x:row>
    <x:row r="949">
      <x:c r="A949" s="13" t="str">
        <x:v>Lucca Meirelles</x:v>
      </x:c>
      <x:c r="B949" s="13" t="n">
        <x:v>2027</x:v>
      </x:c>
      <x:c r="C949" s="13" t="str">
        <x:v>T4</x:v>
      </x:c>
      <x:c r="D949" s="24" t="n">
        <x:v>46752</x:v>
      </x:c>
      <x:c r="E949" s="13" t="str">
        <x:v>Centroavante</x:v>
      </x:c>
      <x:c r="F949" s="13" t="str">
        <x:v>Shakhtar Donetsk</x:v>
      </x:c>
      <x:c r="G949" s="16"/>
      <x:c r="H949" s="16"/>
      <x:c r="I949" s="16"/>
      <x:c r="J949" s="16"/>
      <x:c r="K949" s="16" t="str">
        <x:f>IF(COUNT(G949,I949)=0,"",AVERAGE(G949,I949))</x:f>
      </x:c>
      <x:c r="L949" s="16" t="str">
        <x:f>IF(COUNT(H949,J949)=0,"",AVERAGE(H949,J949))</x:f>
      </x:c>
      <x:c r="M949" s="16" t="str">
        <x:f>IF(OR(K949="",L949=""),"",L949-K949)</x:f>
      </x:c>
      <x:c r="N949" s="16" t="str">
        <x:f>IF(AND(A949=A948,ISNUMBER(K949),ISNUMBER(K948)),K949-K948,"")</x:f>
      </x:c>
      <x:c r="O949" s="13" t="str">
        <x:v>Sem informação</x:v>
      </x:c>
      <x:c r="P949" s="26"/>
      <x:c r="Q949" s="13" t="str"/>
      <x:c r="R949" s="13" t="str"/>
      <x:c r="S949" s="13" t="str"/>
      <x:c r="T949" s="13" t="str"/>
    </x:row>
    <x:row r="950">
      <x:c r="A950" s="13" t="str">
        <x:v>Lucca Meirelles</x:v>
      </x:c>
      <x:c r="B950" s="13" t="n">
        <x:v>2028</x:v>
      </x:c>
      <x:c r="C950" s="13" t="str">
        <x:v>T1</x:v>
      </x:c>
      <x:c r="D950" s="24" t="n">
        <x:v>46843</x:v>
      </x:c>
      <x:c r="E950" s="13" t="str">
        <x:v>Centroavante</x:v>
      </x:c>
      <x:c r="F950" s="13" t="str">
        <x:v>Shakhtar Donetsk</x:v>
      </x:c>
      <x:c r="G950" s="16"/>
      <x:c r="H950" s="16"/>
      <x:c r="I950" s="16"/>
      <x:c r="J950" s="16"/>
      <x:c r="K950" s="16" t="str">
        <x:f>IF(COUNT(G950,I950)=0,"",AVERAGE(G950,I950))</x:f>
      </x:c>
      <x:c r="L950" s="16" t="str">
        <x:f>IF(COUNT(H950,J950)=0,"",AVERAGE(H950,J950))</x:f>
      </x:c>
      <x:c r="M950" s="16" t="str">
        <x:f>IF(OR(K950="",L950=""),"",L950-K950)</x:f>
      </x:c>
      <x:c r="N950" s="16" t="str">
        <x:f>IF(AND(A950=A949,ISNUMBER(K950),ISNUMBER(K949)),K950-K949,"")</x:f>
      </x:c>
      <x:c r="O950" s="13" t="str">
        <x:v>Sem informação</x:v>
      </x:c>
      <x:c r="P950" s="26"/>
      <x:c r="Q950" s="13" t="str"/>
      <x:c r="R950" s="13" t="str"/>
      <x:c r="S950" s="13" t="str"/>
      <x:c r="T950" s="13" t="str"/>
    </x:row>
    <x:row r="951">
      <x:c r="A951" s="13" t="str">
        <x:v>Lucca Meirelles</x:v>
      </x:c>
      <x:c r="B951" s="13" t="n">
        <x:v>2028</x:v>
      </x:c>
      <x:c r="C951" s="13" t="str">
        <x:v>T2</x:v>
      </x:c>
      <x:c r="D951" s="24" t="n">
        <x:v>46934</x:v>
      </x:c>
      <x:c r="E951" s="13" t="str">
        <x:v>Centroavante</x:v>
      </x:c>
      <x:c r="F951" s="13" t="str">
        <x:v>Shakhtar Donetsk</x:v>
      </x:c>
      <x:c r="G951" s="16"/>
      <x:c r="H951" s="16"/>
      <x:c r="I951" s="16"/>
      <x:c r="J951" s="16"/>
      <x:c r="K951" s="16" t="str">
        <x:f>IF(COUNT(G951,I951)=0,"",AVERAGE(G951,I951))</x:f>
      </x:c>
      <x:c r="L951" s="16" t="str">
        <x:f>IF(COUNT(H951,J951)=0,"",AVERAGE(H951,J951))</x:f>
      </x:c>
      <x:c r="M951" s="16" t="str">
        <x:f>IF(OR(K951="",L951=""),"",L951-K951)</x:f>
      </x:c>
      <x:c r="N951" s="16" t="str">
        <x:f>IF(AND(A951=A950,ISNUMBER(K951),ISNUMBER(K950)),K951-K950,"")</x:f>
      </x:c>
      <x:c r="O951" s="13" t="str">
        <x:v>Sem informação</x:v>
      </x:c>
      <x:c r="P951" s="26"/>
      <x:c r="Q951" s="13" t="str"/>
      <x:c r="R951" s="13" t="str"/>
      <x:c r="S951" s="13" t="str"/>
      <x:c r="T951" s="13" t="str"/>
    </x:row>
    <x:row r="952">
      <x:c r="A952" s="13" t="str">
        <x:v>Lucca Meirelles</x:v>
      </x:c>
      <x:c r="B952" s="13" t="n">
        <x:v>2028</x:v>
      </x:c>
      <x:c r="C952" s="13" t="str">
        <x:v>T3</x:v>
      </x:c>
      <x:c r="D952" s="24" t="n">
        <x:v>47026</x:v>
      </x:c>
      <x:c r="E952" s="13" t="str">
        <x:v>Centroavante</x:v>
      </x:c>
      <x:c r="F952" s="13" t="str">
        <x:v>Shakhtar Donetsk</x:v>
      </x:c>
      <x:c r="G952" s="16"/>
      <x:c r="H952" s="16"/>
      <x:c r="I952" s="16"/>
      <x:c r="J952" s="16"/>
      <x:c r="K952" s="16" t="str">
        <x:f>IF(COUNT(G952,I952)=0,"",AVERAGE(G952,I952))</x:f>
      </x:c>
      <x:c r="L952" s="16" t="str">
        <x:f>IF(COUNT(H952,J952)=0,"",AVERAGE(H952,J952))</x:f>
      </x:c>
      <x:c r="M952" s="16" t="str">
        <x:f>IF(OR(K952="",L952=""),"",L952-K952)</x:f>
      </x:c>
      <x:c r="N952" s="16" t="str">
        <x:f>IF(AND(A952=A951,ISNUMBER(K952),ISNUMBER(K951)),K952-K951,"")</x:f>
      </x:c>
      <x:c r="O952" s="13" t="str">
        <x:v>Sem informação</x:v>
      </x:c>
      <x:c r="P952" s="26"/>
      <x:c r="Q952" s="13" t="str"/>
      <x:c r="R952" s="13" t="str"/>
      <x:c r="S952" s="13" t="str"/>
      <x:c r="T952" s="13" t="str"/>
    </x:row>
    <x:row r="953">
      <x:c r="A953" s="13" t="str">
        <x:v>Lucca Meirelles</x:v>
      </x:c>
      <x:c r="B953" s="13" t="n">
        <x:v>2028</x:v>
      </x:c>
      <x:c r="C953" s="13" t="str">
        <x:v>T4</x:v>
      </x:c>
      <x:c r="D953" s="24" t="n">
        <x:v>47118</x:v>
      </x:c>
      <x:c r="E953" s="13" t="str">
        <x:v>Centroavante</x:v>
      </x:c>
      <x:c r="F953" s="13" t="str">
        <x:v>Shakhtar Donetsk</x:v>
      </x:c>
      <x:c r="G953" s="16"/>
      <x:c r="H953" s="16"/>
      <x:c r="I953" s="16"/>
      <x:c r="J953" s="16"/>
      <x:c r="K953" s="16" t="str">
        <x:f>IF(COUNT(G953,I953)=0,"",AVERAGE(G953,I953))</x:f>
      </x:c>
      <x:c r="L953" s="16" t="str">
        <x:f>IF(COUNT(H953,J953)=0,"",AVERAGE(H953,J953))</x:f>
      </x:c>
      <x:c r="M953" s="16" t="str">
        <x:f>IF(OR(K953="",L953=""),"",L953-K953)</x:f>
      </x:c>
      <x:c r="N953" s="16" t="str">
        <x:f>IF(AND(A953=A952,ISNUMBER(K953),ISNUMBER(K952)),K953-K952,"")</x:f>
      </x:c>
      <x:c r="O953" s="13" t="str">
        <x:v>Sem informação</x:v>
      </x:c>
      <x:c r="P953" s="26"/>
      <x:c r="Q953" s="13" t="str"/>
      <x:c r="R953" s="13" t="str"/>
      <x:c r="S953" s="13" t="str"/>
      <x:c r="T953" s="13" t="str"/>
    </x:row>
    <x:row r="954">
      <x:c r="A954" s="13" t="str">
        <x:v>Lucca Meirelles</x:v>
      </x:c>
      <x:c r="B954" s="13" t="n">
        <x:v>2029</x:v>
      </x:c>
      <x:c r="C954" s="13" t="str">
        <x:v>T1</x:v>
      </x:c>
      <x:c r="D954" s="24" t="n">
        <x:v>47208</x:v>
      </x:c>
      <x:c r="E954" s="13" t="str">
        <x:v>Centroavante</x:v>
      </x:c>
      <x:c r="F954" s="13" t="str">
        <x:v>Shakhtar Donetsk</x:v>
      </x:c>
      <x:c r="G954" s="16"/>
      <x:c r="H954" s="16"/>
      <x:c r="I954" s="16"/>
      <x:c r="J954" s="16"/>
      <x:c r="K954" s="16" t="str">
        <x:f>IF(COUNT(G954,I954)=0,"",AVERAGE(G954,I954))</x:f>
      </x:c>
      <x:c r="L954" s="16" t="str">
        <x:f>IF(COUNT(H954,J954)=0,"",AVERAGE(H954,J954))</x:f>
      </x:c>
      <x:c r="M954" s="16" t="str">
        <x:f>IF(OR(K954="",L954=""),"",L954-K954)</x:f>
      </x:c>
      <x:c r="N954" s="16" t="str">
        <x:f>IF(AND(A954=A953,ISNUMBER(K954),ISNUMBER(K953)),K954-K953,"")</x:f>
      </x:c>
      <x:c r="O954" s="13" t="str">
        <x:v>Sem informação</x:v>
      </x:c>
      <x:c r="P954" s="26"/>
      <x:c r="Q954" s="13" t="str"/>
      <x:c r="R954" s="13" t="str"/>
      <x:c r="S954" s="13" t="str"/>
      <x:c r="T954" s="13" t="str"/>
    </x:row>
    <x:row r="955">
      <x:c r="A955" s="13" t="str">
        <x:v>Lucca Meirelles</x:v>
      </x:c>
      <x:c r="B955" s="13" t="n">
        <x:v>2029</x:v>
      </x:c>
      <x:c r="C955" s="13" t="str">
        <x:v>T2</x:v>
      </x:c>
      <x:c r="D955" s="24" t="n">
        <x:v>47299</x:v>
      </x:c>
      <x:c r="E955" s="13" t="str">
        <x:v>Centroavante</x:v>
      </x:c>
      <x:c r="F955" s="13" t="str">
        <x:v>Shakhtar Donetsk</x:v>
      </x:c>
      <x:c r="G955" s="16"/>
      <x:c r="H955" s="16"/>
      <x:c r="I955" s="16"/>
      <x:c r="J955" s="16"/>
      <x:c r="K955" s="16" t="str">
        <x:f>IF(COUNT(G955,I955)=0,"",AVERAGE(G955,I955))</x:f>
      </x:c>
      <x:c r="L955" s="16" t="str">
        <x:f>IF(COUNT(H955,J955)=0,"",AVERAGE(H955,J955))</x:f>
      </x:c>
      <x:c r="M955" s="16" t="str">
        <x:f>IF(OR(K955="",L955=""),"",L955-K955)</x:f>
      </x:c>
      <x:c r="N955" s="16" t="str">
        <x:f>IF(AND(A955=A954,ISNUMBER(K955),ISNUMBER(K954)),K955-K954,"")</x:f>
      </x:c>
      <x:c r="O955" s="13" t="str">
        <x:v>Sem informação</x:v>
      </x:c>
      <x:c r="P955" s="26"/>
      <x:c r="Q955" s="13" t="str"/>
      <x:c r="R955" s="13" t="str"/>
      <x:c r="S955" s="13" t="str"/>
      <x:c r="T955" s="13" t="str"/>
    </x:row>
    <x:row r="956">
      <x:c r="A956" s="13" t="str">
        <x:v>Lucca Meirelles</x:v>
      </x:c>
      <x:c r="B956" s="13" t="n">
        <x:v>2029</x:v>
      </x:c>
      <x:c r="C956" s="13" t="str">
        <x:v>T3</x:v>
      </x:c>
      <x:c r="D956" s="24" t="n">
        <x:v>47391</x:v>
      </x:c>
      <x:c r="E956" s="13" t="str">
        <x:v>Centroavante</x:v>
      </x:c>
      <x:c r="F956" s="13" t="str">
        <x:v>Shakhtar Donetsk</x:v>
      </x:c>
      <x:c r="G956" s="16"/>
      <x:c r="H956" s="16"/>
      <x:c r="I956" s="16"/>
      <x:c r="J956" s="16"/>
      <x:c r="K956" s="16" t="str">
        <x:f>IF(COUNT(G956,I956)=0,"",AVERAGE(G956,I956))</x:f>
      </x:c>
      <x:c r="L956" s="16" t="str">
        <x:f>IF(COUNT(H956,J956)=0,"",AVERAGE(H956,J956))</x:f>
      </x:c>
      <x:c r="M956" s="16" t="str">
        <x:f>IF(OR(K956="",L956=""),"",L956-K956)</x:f>
      </x:c>
      <x:c r="N956" s="16" t="str">
        <x:f>IF(AND(A956=A955,ISNUMBER(K956),ISNUMBER(K955)),K956-K955,"")</x:f>
      </x:c>
      <x:c r="O956" s="13" t="str">
        <x:v>Sem informação</x:v>
      </x:c>
      <x:c r="P956" s="26"/>
      <x:c r="Q956" s="13" t="str"/>
      <x:c r="R956" s="13" t="str"/>
      <x:c r="S956" s="13" t="str"/>
      <x:c r="T956" s="13" t="str"/>
    </x:row>
    <x:row r="957">
      <x:c r="A957" s="13" t="str">
        <x:v>Lucca Meirelles</x:v>
      </x:c>
      <x:c r="B957" s="13" t="n">
        <x:v>2029</x:v>
      </x:c>
      <x:c r="C957" s="13" t="str">
        <x:v>T4</x:v>
      </x:c>
      <x:c r="D957" s="24" t="n">
        <x:v>47483</x:v>
      </x:c>
      <x:c r="E957" s="13" t="str">
        <x:v>Centroavante</x:v>
      </x:c>
      <x:c r="F957" s="13" t="str">
        <x:v>Shakhtar Donetsk</x:v>
      </x:c>
      <x:c r="G957" s="16"/>
      <x:c r="H957" s="16"/>
      <x:c r="I957" s="16"/>
      <x:c r="J957" s="16"/>
      <x:c r="K957" s="16" t="str">
        <x:f>IF(COUNT(G957,I957)=0,"",AVERAGE(G957,I957))</x:f>
      </x:c>
      <x:c r="L957" s="16" t="str">
        <x:f>IF(COUNT(H957,J957)=0,"",AVERAGE(H957,J957))</x:f>
      </x:c>
      <x:c r="M957" s="16" t="str">
        <x:f>IF(OR(K957="",L957=""),"",L957-K957)</x:f>
      </x:c>
      <x:c r="N957" s="16" t="str">
        <x:f>IF(AND(A957=A956,ISNUMBER(K957),ISNUMBER(K956)),K957-K956,"")</x:f>
      </x:c>
      <x:c r="O957" s="13" t="str">
        <x:v>Sem informação</x:v>
      </x:c>
      <x:c r="P957" s="26"/>
      <x:c r="Q957" s="13" t="str"/>
      <x:c r="R957" s="13" t="str"/>
      <x:c r="S957" s="13" t="str"/>
      <x:c r="T957" s="13" t="str"/>
    </x:row>
    <x:row r="958">
      <x:c r="A958" s="13" t="str">
        <x:v>Lucca Meirelles</x:v>
      </x:c>
      <x:c r="B958" s="13" t="n">
        <x:v>2030</x:v>
      </x:c>
      <x:c r="C958" s="13" t="str">
        <x:v>T1</x:v>
      </x:c>
      <x:c r="D958" s="24" t="n">
        <x:v>47573</x:v>
      </x:c>
      <x:c r="E958" s="13" t="str">
        <x:v>Centroavante</x:v>
      </x:c>
      <x:c r="F958" s="13" t="str">
        <x:v>Shakhtar Donetsk</x:v>
      </x:c>
      <x:c r="G958" s="16"/>
      <x:c r="H958" s="16"/>
      <x:c r="I958" s="16"/>
      <x:c r="J958" s="16"/>
      <x:c r="K958" s="16" t="str">
        <x:f>IF(COUNT(G958,I958)=0,"",AVERAGE(G958,I958))</x:f>
      </x:c>
      <x:c r="L958" s="16" t="str">
        <x:f>IF(COUNT(H958,J958)=0,"",AVERAGE(H958,J958))</x:f>
      </x:c>
      <x:c r="M958" s="16" t="str">
        <x:f>IF(OR(K958="",L958=""),"",L958-K958)</x:f>
      </x:c>
      <x:c r="N958" s="16" t="str">
        <x:f>IF(AND(A958=A957,ISNUMBER(K958),ISNUMBER(K957)),K958-K957,"")</x:f>
      </x:c>
      <x:c r="O958" s="13" t="str">
        <x:v>Sem informação</x:v>
      </x:c>
      <x:c r="P958" s="26"/>
      <x:c r="Q958" s="13" t="str"/>
      <x:c r="R958" s="13" t="str"/>
      <x:c r="S958" s="13" t="str"/>
      <x:c r="T958" s="13" t="str"/>
    </x:row>
    <x:row r="959">
      <x:c r="A959" s="13" t="str">
        <x:v>Lucca Meirelles</x:v>
      </x:c>
      <x:c r="B959" s="13" t="n">
        <x:v>2030</x:v>
      </x:c>
      <x:c r="C959" s="13" t="str">
        <x:v>T2</x:v>
      </x:c>
      <x:c r="D959" s="24" t="n">
        <x:v>47664</x:v>
      </x:c>
      <x:c r="E959" s="13" t="str">
        <x:v>Centroavante</x:v>
      </x:c>
      <x:c r="F959" s="13" t="str">
        <x:v>Shakhtar Donetsk</x:v>
      </x:c>
      <x:c r="G959" s="16"/>
      <x:c r="H959" s="16"/>
      <x:c r="I959" s="16"/>
      <x:c r="J959" s="16"/>
      <x:c r="K959" s="16" t="str">
        <x:f>IF(COUNT(G959,I959)=0,"",AVERAGE(G959,I959))</x:f>
      </x:c>
      <x:c r="L959" s="16" t="str">
        <x:f>IF(COUNT(H959,J959)=0,"",AVERAGE(H959,J959))</x:f>
      </x:c>
      <x:c r="M959" s="16" t="str">
        <x:f>IF(OR(K959="",L959=""),"",L959-K959)</x:f>
      </x:c>
      <x:c r="N959" s="16" t="str">
        <x:f>IF(AND(A959=A958,ISNUMBER(K959),ISNUMBER(K958)),K959-K958,"")</x:f>
      </x:c>
      <x:c r="O959" s="13" t="str">
        <x:v>Sem informação</x:v>
      </x:c>
      <x:c r="P959" s="26"/>
      <x:c r="Q959" s="13" t="str"/>
      <x:c r="R959" s="13" t="str"/>
      <x:c r="S959" s="13" t="str"/>
      <x:c r="T959" s="13" t="str"/>
    </x:row>
    <x:row r="960">
      <x:c r="A960" s="13" t="str">
        <x:v>Lucca Meirelles</x:v>
      </x:c>
      <x:c r="B960" s="13" t="n">
        <x:v>2030</x:v>
      </x:c>
      <x:c r="C960" s="13" t="str">
        <x:v>T3</x:v>
      </x:c>
      <x:c r="D960" s="24" t="n">
        <x:v>47756</x:v>
      </x:c>
      <x:c r="E960" s="13" t="str">
        <x:v>Centroavante</x:v>
      </x:c>
      <x:c r="F960" s="13" t="str">
        <x:v>Shakhtar Donetsk</x:v>
      </x:c>
      <x:c r="G960" s="16"/>
      <x:c r="H960" s="16"/>
      <x:c r="I960" s="16"/>
      <x:c r="J960" s="16"/>
      <x:c r="K960" s="16" t="str">
        <x:f>IF(COUNT(G960,I960)=0,"",AVERAGE(G960,I960))</x:f>
      </x:c>
      <x:c r="L960" s="16" t="str">
        <x:f>IF(COUNT(H960,J960)=0,"",AVERAGE(H960,J960))</x:f>
      </x:c>
      <x:c r="M960" s="16" t="str">
        <x:f>IF(OR(K960="",L960=""),"",L960-K960)</x:f>
      </x:c>
      <x:c r="N960" s="16" t="str">
        <x:f>IF(AND(A960=A959,ISNUMBER(K960),ISNUMBER(K959)),K960-K959,"")</x:f>
      </x:c>
      <x:c r="O960" s="13" t="str">
        <x:v>Sem informação</x:v>
      </x:c>
      <x:c r="P960" s="26"/>
      <x:c r="Q960" s="13" t="str"/>
      <x:c r="R960" s="13" t="str"/>
      <x:c r="S960" s="13" t="str"/>
      <x:c r="T960" s="13" t="str"/>
    </x:row>
    <x:row r="961">
      <x:c r="A961" s="13" t="str">
        <x:v>Lucca Meirelles</x:v>
      </x:c>
      <x:c r="B961" s="13" t="n">
        <x:v>2030</x:v>
      </x:c>
      <x:c r="C961" s="13" t="str">
        <x:v>T4</x:v>
      </x:c>
      <x:c r="D961" s="24" t="n">
        <x:v>47848</x:v>
      </x:c>
      <x:c r="E961" s="13" t="str">
        <x:v>Centroavante</x:v>
      </x:c>
      <x:c r="F961" s="13" t="str">
        <x:v>Shakhtar Donetsk</x:v>
      </x:c>
      <x:c r="G961" s="16"/>
      <x:c r="H961" s="16"/>
      <x:c r="I961" s="16"/>
      <x:c r="J961" s="16"/>
      <x:c r="K961" s="16" t="str">
        <x:f>IF(COUNT(G961,I961)=0,"",AVERAGE(G961,I961))</x:f>
      </x:c>
      <x:c r="L961" s="16" t="str">
        <x:f>IF(COUNT(H961,J961)=0,"",AVERAGE(H961,J961))</x:f>
      </x:c>
      <x:c r="M961" s="16" t="str">
        <x:f>IF(OR(K961="",L961=""),"",L961-K961)</x:f>
      </x:c>
      <x:c r="N961" s="16" t="str">
        <x:f>IF(AND(A961=A960,ISNUMBER(K961),ISNUMBER(K960)),K961-K960,"")</x:f>
      </x:c>
      <x:c r="O961" s="13" t="str">
        <x:v>Sem informação</x:v>
      </x:c>
      <x:c r="P961" s="26"/>
      <x:c r="Q961" s="13" t="str"/>
      <x:c r="R961" s="13" t="str"/>
      <x:c r="S961" s="13" t="str"/>
      <x:c r="T961" s="13" t="str"/>
    </x:row>
    <x:row r="962">
      <x:c r="A962" s="13" t="str">
        <x:v>Luiz Henrique</x:v>
      </x:c>
      <x:c r="B962" s="13" t="n">
        <x:v>2026</x:v>
      </x:c>
      <x:c r="C962" s="13" t="str">
        <x:v>T1</x:v>
      </x:c>
      <x:c r="D962" s="24" t="n">
        <x:v>46112</x:v>
      </x:c>
      <x:c r="E962" s="13" t="str">
        <x:v>Ponta-direita</x:v>
      </x:c>
      <x:c r="F962" s="13" t="str">
        <x:v>Zenit São Petersburgo</x:v>
      </x:c>
      <x:c r="G962" s="16"/>
      <x:c r="H962" s="16"/>
      <x:c r="I962" s="16"/>
      <x:c r="J962" s="16"/>
      <x:c r="K962" s="16" t="str">
        <x:f>IF(COUNT(G962,I962)=0,"",AVERAGE(G962,I962))</x:f>
      </x:c>
      <x:c r="L962" s="16" t="str">
        <x:f>IF(COUNT(H962,J962)=0,"",AVERAGE(H962,J962))</x:f>
      </x:c>
      <x:c r="M962" s="16" t="str">
        <x:f>IF(OR(K962="",L962=""),"",L962-K962)</x:f>
      </x:c>
      <x:c r="N962" s="16" t="str">
        <x:f>""</x:f>
      </x:c>
      <x:c r="O962" s="13" t="str">
        <x:v>Sem informação</x:v>
      </x:c>
      <x:c r="P962" s="26"/>
      <x:c r="Q962" s="13" t="str"/>
      <x:c r="R962" s="13" t="str"/>
      <x:c r="S962" s="13" t="str"/>
      <x:c r="T962" s="13" t="str"/>
    </x:row>
    <x:row r="963">
      <x:c r="A963" s="13" t="str">
        <x:v>Luiz Henrique</x:v>
      </x:c>
      <x:c r="B963" s="13" t="n">
        <x:v>2026</x:v>
      </x:c>
      <x:c r="C963" s="13" t="str">
        <x:v>T2</x:v>
      </x:c>
      <x:c r="D963" s="24" t="n">
        <x:v>46203</x:v>
      </x:c>
      <x:c r="E963" s="13" t="str">
        <x:v>Ponta-direita</x:v>
      </x:c>
      <x:c r="F963" s="13" t="str">
        <x:v>Zenit São Petersburgo</x:v>
      </x:c>
      <x:c r="G963" s="16"/>
      <x:c r="H963" s="16"/>
      <x:c r="I963" s="16"/>
      <x:c r="J963" s="16"/>
      <x:c r="K963" s="16" t="str">
        <x:f>IF(COUNT(G963,I963)=0,"",AVERAGE(G963,I963))</x:f>
      </x:c>
      <x:c r="L963" s="16" t="str">
        <x:f>IF(COUNT(H963,J963)=0,"",AVERAGE(H963,J963))</x:f>
      </x:c>
      <x:c r="M963" s="16" t="str">
        <x:f>IF(OR(K963="",L963=""),"",L963-K963)</x:f>
      </x:c>
      <x:c r="N963" s="16" t="str">
        <x:f>IF(AND(A963=A962,ISNUMBER(K963),ISNUMBER(K962)),K963-K962,"")</x:f>
      </x:c>
      <x:c r="O963" s="13" t="str">
        <x:v>Sem informação</x:v>
      </x:c>
      <x:c r="P963" s="26"/>
      <x:c r="Q963" s="13" t="str"/>
      <x:c r="R963" s="13" t="str"/>
      <x:c r="S963" s="13" t="str"/>
      <x:c r="T963" s="13" t="str"/>
    </x:row>
    <x:row r="964">
      <x:c r="A964" s="13" t="str">
        <x:v>Luiz Henrique</x:v>
      </x:c>
      <x:c r="B964" s="13" t="n">
        <x:v>2026</x:v>
      </x:c>
      <x:c r="C964" s="13" t="str">
        <x:v>T3</x:v>
      </x:c>
      <x:c r="D964" s="24" t="n">
        <x:v>46295</x:v>
      </x:c>
      <x:c r="E964" s="13" t="str">
        <x:v>Ponta-direita</x:v>
      </x:c>
      <x:c r="F964" s="13" t="str">
        <x:v>Zenit São Petersburgo</x:v>
      </x:c>
      <x:c r="G964" s="16"/>
      <x:c r="H964" s="16"/>
      <x:c r="I964" s="16"/>
      <x:c r="J964" s="16"/>
      <x:c r="K964" s="16" t="str">
        <x:f>IF(COUNT(G964,I964)=0,"",AVERAGE(G964,I964))</x:f>
      </x:c>
      <x:c r="L964" s="16" t="str">
        <x:f>IF(COUNT(H964,J964)=0,"",AVERAGE(H964,J964))</x:f>
      </x:c>
      <x:c r="M964" s="16" t="str">
        <x:f>IF(OR(K964="",L964=""),"",L964-K964)</x:f>
      </x:c>
      <x:c r="N964" s="16" t="str">
        <x:f>IF(AND(A964=A963,ISNUMBER(K964),ISNUMBER(K963)),K964-K963,"")</x:f>
      </x:c>
      <x:c r="O964" s="13" t="str">
        <x:v>Sem informação</x:v>
      </x:c>
      <x:c r="P964" s="26"/>
      <x:c r="Q964" s="13" t="str"/>
      <x:c r="R964" s="13" t="str"/>
      <x:c r="S964" s="13" t="str"/>
      <x:c r="T964" s="13" t="str"/>
    </x:row>
    <x:row r="965">
      <x:c r="A965" s="13" t="str">
        <x:v>Luiz Henrique</x:v>
      </x:c>
      <x:c r="B965" s="13" t="n">
        <x:v>2026</x:v>
      </x:c>
      <x:c r="C965" s="13" t="str">
        <x:v>T4</x:v>
      </x:c>
      <x:c r="D965" s="24" t="n">
        <x:v>46387</x:v>
      </x:c>
      <x:c r="E965" s="13" t="str">
        <x:v>Ponta-direita</x:v>
      </x:c>
      <x:c r="F965" s="13" t="str">
        <x:v>Zenit São Petersburgo</x:v>
      </x:c>
      <x:c r="G965" s="16"/>
      <x:c r="H965" s="16"/>
      <x:c r="I965" s="16"/>
      <x:c r="J965" s="16"/>
      <x:c r="K965" s="16" t="str">
        <x:f>IF(COUNT(G965,I965)=0,"",AVERAGE(G965,I965))</x:f>
      </x:c>
      <x:c r="L965" s="16" t="str">
        <x:f>IF(COUNT(H965,J965)=0,"",AVERAGE(H965,J965))</x:f>
      </x:c>
      <x:c r="M965" s="16" t="str">
        <x:f>IF(OR(K965="",L965=""),"",L965-K965)</x:f>
      </x:c>
      <x:c r="N965" s="16" t="str">
        <x:f>IF(AND(A965=A964,ISNUMBER(K965),ISNUMBER(K964)),K965-K964,"")</x:f>
      </x:c>
      <x:c r="O965" s="13" t="str">
        <x:v>Sem informação</x:v>
      </x:c>
      <x:c r="P965" s="26"/>
      <x:c r="Q965" s="13" t="str"/>
      <x:c r="R965" s="13" t="str"/>
      <x:c r="S965" s="13" t="str"/>
      <x:c r="T965" s="13" t="str"/>
    </x:row>
    <x:row r="966">
      <x:c r="A966" s="13" t="str">
        <x:v>Luiz Henrique</x:v>
      </x:c>
      <x:c r="B966" s="13" t="n">
        <x:v>2027</x:v>
      </x:c>
      <x:c r="C966" s="13" t="str">
        <x:v>T1</x:v>
      </x:c>
      <x:c r="D966" s="24" t="n">
        <x:v>46477</x:v>
      </x:c>
      <x:c r="E966" s="13" t="str">
        <x:v>Ponta-direita</x:v>
      </x:c>
      <x:c r="F966" s="13" t="str">
        <x:v>Zenit São Petersburgo</x:v>
      </x:c>
      <x:c r="G966" s="16"/>
      <x:c r="H966" s="16"/>
      <x:c r="I966" s="16"/>
      <x:c r="J966" s="16"/>
      <x:c r="K966" s="16" t="str">
        <x:f>IF(COUNT(G966,I966)=0,"",AVERAGE(G966,I966))</x:f>
      </x:c>
      <x:c r="L966" s="16" t="str">
        <x:f>IF(COUNT(H966,J966)=0,"",AVERAGE(H966,J966))</x:f>
      </x:c>
      <x:c r="M966" s="16" t="str">
        <x:f>IF(OR(K966="",L966=""),"",L966-K966)</x:f>
      </x:c>
      <x:c r="N966" s="16" t="str">
        <x:f>IF(AND(A966=A965,ISNUMBER(K966),ISNUMBER(K965)),K966-K965,"")</x:f>
      </x:c>
      <x:c r="O966" s="13" t="str">
        <x:v>Sem informação</x:v>
      </x:c>
      <x:c r="P966" s="26"/>
      <x:c r="Q966" s="13" t="str"/>
      <x:c r="R966" s="13" t="str"/>
      <x:c r="S966" s="13" t="str"/>
      <x:c r="T966" s="13" t="str"/>
    </x:row>
    <x:row r="967">
      <x:c r="A967" s="13" t="str">
        <x:v>Luiz Henrique</x:v>
      </x:c>
      <x:c r="B967" s="13" t="n">
        <x:v>2027</x:v>
      </x:c>
      <x:c r="C967" s="13" t="str">
        <x:v>T2</x:v>
      </x:c>
      <x:c r="D967" s="24" t="n">
        <x:v>46568</x:v>
      </x:c>
      <x:c r="E967" s="13" t="str">
        <x:v>Ponta-direita</x:v>
      </x:c>
      <x:c r="F967" s="13" t="str">
        <x:v>Zenit São Petersburgo</x:v>
      </x:c>
      <x:c r="G967" s="16"/>
      <x:c r="H967" s="16"/>
      <x:c r="I967" s="16"/>
      <x:c r="J967" s="16"/>
      <x:c r="K967" s="16" t="str">
        <x:f>IF(COUNT(G967,I967)=0,"",AVERAGE(G967,I967))</x:f>
      </x:c>
      <x:c r="L967" s="16" t="str">
        <x:f>IF(COUNT(H967,J967)=0,"",AVERAGE(H967,J967))</x:f>
      </x:c>
      <x:c r="M967" s="16" t="str">
        <x:f>IF(OR(K967="",L967=""),"",L967-K967)</x:f>
      </x:c>
      <x:c r="N967" s="16" t="str">
        <x:f>IF(AND(A967=A966,ISNUMBER(K967),ISNUMBER(K966)),K967-K966,"")</x:f>
      </x:c>
      <x:c r="O967" s="13" t="str">
        <x:v>Sem informação</x:v>
      </x:c>
      <x:c r="P967" s="26"/>
      <x:c r="Q967" s="13" t="str"/>
      <x:c r="R967" s="13" t="str"/>
      <x:c r="S967" s="13" t="str"/>
      <x:c r="T967" s="13" t="str"/>
    </x:row>
    <x:row r="968">
      <x:c r="A968" s="13" t="str">
        <x:v>Luiz Henrique</x:v>
      </x:c>
      <x:c r="B968" s="13" t="n">
        <x:v>2027</x:v>
      </x:c>
      <x:c r="C968" s="13" t="str">
        <x:v>T3</x:v>
      </x:c>
      <x:c r="D968" s="24" t="n">
        <x:v>46660</x:v>
      </x:c>
      <x:c r="E968" s="13" t="str">
        <x:v>Ponta-direita</x:v>
      </x:c>
      <x:c r="F968" s="13" t="str">
        <x:v>Zenit São Petersburgo</x:v>
      </x:c>
      <x:c r="G968" s="16"/>
      <x:c r="H968" s="16"/>
      <x:c r="I968" s="16"/>
      <x:c r="J968" s="16"/>
      <x:c r="K968" s="16" t="str">
        <x:f>IF(COUNT(G968,I968)=0,"",AVERAGE(G968,I968))</x:f>
      </x:c>
      <x:c r="L968" s="16" t="str">
        <x:f>IF(COUNT(H968,J968)=0,"",AVERAGE(H968,J968))</x:f>
      </x:c>
      <x:c r="M968" s="16" t="str">
        <x:f>IF(OR(K968="",L968=""),"",L968-K968)</x:f>
      </x:c>
      <x:c r="N968" s="16" t="str">
        <x:f>IF(AND(A968=A967,ISNUMBER(K968),ISNUMBER(K967)),K968-K967,"")</x:f>
      </x:c>
      <x:c r="O968" s="13" t="str">
        <x:v>Sem informação</x:v>
      </x:c>
      <x:c r="P968" s="26"/>
      <x:c r="Q968" s="13" t="str"/>
      <x:c r="R968" s="13" t="str"/>
      <x:c r="S968" s="13" t="str"/>
      <x:c r="T968" s="13" t="str"/>
    </x:row>
    <x:row r="969">
      <x:c r="A969" s="13" t="str">
        <x:v>Luiz Henrique</x:v>
      </x:c>
      <x:c r="B969" s="13" t="n">
        <x:v>2027</x:v>
      </x:c>
      <x:c r="C969" s="13" t="str">
        <x:v>T4</x:v>
      </x:c>
      <x:c r="D969" s="24" t="n">
        <x:v>46752</x:v>
      </x:c>
      <x:c r="E969" s="13" t="str">
        <x:v>Ponta-direita</x:v>
      </x:c>
      <x:c r="F969" s="13" t="str">
        <x:v>Zenit São Petersburgo</x:v>
      </x:c>
      <x:c r="G969" s="16"/>
      <x:c r="H969" s="16"/>
      <x:c r="I969" s="16"/>
      <x:c r="J969" s="16"/>
      <x:c r="K969" s="16" t="str">
        <x:f>IF(COUNT(G969,I969)=0,"",AVERAGE(G969,I969))</x:f>
      </x:c>
      <x:c r="L969" s="16" t="str">
        <x:f>IF(COUNT(H969,J969)=0,"",AVERAGE(H969,J969))</x:f>
      </x:c>
      <x:c r="M969" s="16" t="str">
        <x:f>IF(OR(K969="",L969=""),"",L969-K969)</x:f>
      </x:c>
      <x:c r="N969" s="16" t="str">
        <x:f>IF(AND(A969=A968,ISNUMBER(K969),ISNUMBER(K968)),K969-K968,"")</x:f>
      </x:c>
      <x:c r="O969" s="13" t="str">
        <x:v>Sem informação</x:v>
      </x:c>
      <x:c r="P969" s="26"/>
      <x:c r="Q969" s="13" t="str"/>
      <x:c r="R969" s="13" t="str"/>
      <x:c r="S969" s="13" t="str"/>
      <x:c r="T969" s="13" t="str"/>
    </x:row>
    <x:row r="970">
      <x:c r="A970" s="13" t="str">
        <x:v>Luiz Henrique</x:v>
      </x:c>
      <x:c r="B970" s="13" t="n">
        <x:v>2028</x:v>
      </x:c>
      <x:c r="C970" s="13" t="str">
        <x:v>T1</x:v>
      </x:c>
      <x:c r="D970" s="24" t="n">
        <x:v>46843</x:v>
      </x:c>
      <x:c r="E970" s="13" t="str">
        <x:v>Ponta-direita</x:v>
      </x:c>
      <x:c r="F970" s="13" t="str">
        <x:v>Zenit São Petersburgo</x:v>
      </x:c>
      <x:c r="G970" s="16"/>
      <x:c r="H970" s="16"/>
      <x:c r="I970" s="16"/>
      <x:c r="J970" s="16"/>
      <x:c r="K970" s="16" t="str">
        <x:f>IF(COUNT(G970,I970)=0,"",AVERAGE(G970,I970))</x:f>
      </x:c>
      <x:c r="L970" s="16" t="str">
        <x:f>IF(COUNT(H970,J970)=0,"",AVERAGE(H970,J970))</x:f>
      </x:c>
      <x:c r="M970" s="16" t="str">
        <x:f>IF(OR(K970="",L970=""),"",L970-K970)</x:f>
      </x:c>
      <x:c r="N970" s="16" t="str">
        <x:f>IF(AND(A970=A969,ISNUMBER(K970),ISNUMBER(K969)),K970-K969,"")</x:f>
      </x:c>
      <x:c r="O970" s="13" t="str">
        <x:v>Sem informação</x:v>
      </x:c>
      <x:c r="P970" s="26"/>
      <x:c r="Q970" s="13" t="str"/>
      <x:c r="R970" s="13" t="str"/>
      <x:c r="S970" s="13" t="str"/>
      <x:c r="T970" s="13" t="str"/>
    </x:row>
    <x:row r="971">
      <x:c r="A971" s="13" t="str">
        <x:v>Luiz Henrique</x:v>
      </x:c>
      <x:c r="B971" s="13" t="n">
        <x:v>2028</x:v>
      </x:c>
      <x:c r="C971" s="13" t="str">
        <x:v>T2</x:v>
      </x:c>
      <x:c r="D971" s="24" t="n">
        <x:v>46934</x:v>
      </x:c>
      <x:c r="E971" s="13" t="str">
        <x:v>Ponta-direita</x:v>
      </x:c>
      <x:c r="F971" s="13" t="str">
        <x:v>Zenit São Petersburgo</x:v>
      </x:c>
      <x:c r="G971" s="16"/>
      <x:c r="H971" s="16"/>
      <x:c r="I971" s="16"/>
      <x:c r="J971" s="16"/>
      <x:c r="K971" s="16" t="str">
        <x:f>IF(COUNT(G971,I971)=0,"",AVERAGE(G971,I971))</x:f>
      </x:c>
      <x:c r="L971" s="16" t="str">
        <x:f>IF(COUNT(H971,J971)=0,"",AVERAGE(H971,J971))</x:f>
      </x:c>
      <x:c r="M971" s="16" t="str">
        <x:f>IF(OR(K971="",L971=""),"",L971-K971)</x:f>
      </x:c>
      <x:c r="N971" s="16" t="str">
        <x:f>IF(AND(A971=A970,ISNUMBER(K971),ISNUMBER(K970)),K971-K970,"")</x:f>
      </x:c>
      <x:c r="O971" s="13" t="str">
        <x:v>Sem informação</x:v>
      </x:c>
      <x:c r="P971" s="26"/>
      <x:c r="Q971" s="13" t="str"/>
      <x:c r="R971" s="13" t="str"/>
      <x:c r="S971" s="13" t="str"/>
      <x:c r="T971" s="13" t="str"/>
    </x:row>
    <x:row r="972">
      <x:c r="A972" s="13" t="str">
        <x:v>Luiz Henrique</x:v>
      </x:c>
      <x:c r="B972" s="13" t="n">
        <x:v>2028</x:v>
      </x:c>
      <x:c r="C972" s="13" t="str">
        <x:v>T3</x:v>
      </x:c>
      <x:c r="D972" s="24" t="n">
        <x:v>47026</x:v>
      </x:c>
      <x:c r="E972" s="13" t="str">
        <x:v>Ponta-direita</x:v>
      </x:c>
      <x:c r="F972" s="13" t="str">
        <x:v>Zenit São Petersburgo</x:v>
      </x:c>
      <x:c r="G972" s="16"/>
      <x:c r="H972" s="16"/>
      <x:c r="I972" s="16"/>
      <x:c r="J972" s="16"/>
      <x:c r="K972" s="16" t="str">
        <x:f>IF(COUNT(G972,I972)=0,"",AVERAGE(G972,I972))</x:f>
      </x:c>
      <x:c r="L972" s="16" t="str">
        <x:f>IF(COUNT(H972,J972)=0,"",AVERAGE(H972,J972))</x:f>
      </x:c>
      <x:c r="M972" s="16" t="str">
        <x:f>IF(OR(K972="",L972=""),"",L972-K972)</x:f>
      </x:c>
      <x:c r="N972" s="16" t="str">
        <x:f>IF(AND(A972=A971,ISNUMBER(K972),ISNUMBER(K971)),K972-K971,"")</x:f>
      </x:c>
      <x:c r="O972" s="13" t="str">
        <x:v>Sem informação</x:v>
      </x:c>
      <x:c r="P972" s="26"/>
      <x:c r="Q972" s="13" t="str"/>
      <x:c r="R972" s="13" t="str"/>
      <x:c r="S972" s="13" t="str"/>
      <x:c r="T972" s="13" t="str"/>
    </x:row>
    <x:row r="973">
      <x:c r="A973" s="13" t="str">
        <x:v>Luiz Henrique</x:v>
      </x:c>
      <x:c r="B973" s="13" t="n">
        <x:v>2028</x:v>
      </x:c>
      <x:c r="C973" s="13" t="str">
        <x:v>T4</x:v>
      </x:c>
      <x:c r="D973" s="24" t="n">
        <x:v>47118</x:v>
      </x:c>
      <x:c r="E973" s="13" t="str">
        <x:v>Ponta-direita</x:v>
      </x:c>
      <x:c r="F973" s="13" t="str">
        <x:v>Zenit São Petersburgo</x:v>
      </x:c>
      <x:c r="G973" s="16"/>
      <x:c r="H973" s="16"/>
      <x:c r="I973" s="16"/>
      <x:c r="J973" s="16"/>
      <x:c r="K973" s="16" t="str">
        <x:f>IF(COUNT(G973,I973)=0,"",AVERAGE(G973,I973))</x:f>
      </x:c>
      <x:c r="L973" s="16" t="str">
        <x:f>IF(COUNT(H973,J973)=0,"",AVERAGE(H973,J973))</x:f>
      </x:c>
      <x:c r="M973" s="16" t="str">
        <x:f>IF(OR(K973="",L973=""),"",L973-K973)</x:f>
      </x:c>
      <x:c r="N973" s="16" t="str">
        <x:f>IF(AND(A973=A972,ISNUMBER(K973),ISNUMBER(K972)),K973-K972,"")</x:f>
      </x:c>
      <x:c r="O973" s="13" t="str">
        <x:v>Sem informação</x:v>
      </x:c>
      <x:c r="P973" s="26"/>
      <x:c r="Q973" s="13" t="str"/>
      <x:c r="R973" s="13" t="str"/>
      <x:c r="S973" s="13" t="str"/>
      <x:c r="T973" s="13" t="str"/>
    </x:row>
    <x:row r="974">
      <x:c r="A974" s="13" t="str">
        <x:v>Luiz Henrique</x:v>
      </x:c>
      <x:c r="B974" s="13" t="n">
        <x:v>2029</x:v>
      </x:c>
      <x:c r="C974" s="13" t="str">
        <x:v>T1</x:v>
      </x:c>
      <x:c r="D974" s="24" t="n">
        <x:v>47208</x:v>
      </x:c>
      <x:c r="E974" s="13" t="str">
        <x:v>Ponta-direita</x:v>
      </x:c>
      <x:c r="F974" s="13" t="str">
        <x:v>Zenit São Petersburgo</x:v>
      </x:c>
      <x:c r="G974" s="16"/>
      <x:c r="H974" s="16"/>
      <x:c r="I974" s="16"/>
      <x:c r="J974" s="16"/>
      <x:c r="K974" s="16" t="str">
        <x:f>IF(COUNT(G974,I974)=0,"",AVERAGE(G974,I974))</x:f>
      </x:c>
      <x:c r="L974" s="16" t="str">
        <x:f>IF(COUNT(H974,J974)=0,"",AVERAGE(H974,J974))</x:f>
      </x:c>
      <x:c r="M974" s="16" t="str">
        <x:f>IF(OR(K974="",L974=""),"",L974-K974)</x:f>
      </x:c>
      <x:c r="N974" s="16" t="str">
        <x:f>IF(AND(A974=A973,ISNUMBER(K974),ISNUMBER(K973)),K974-K973,"")</x:f>
      </x:c>
      <x:c r="O974" s="13" t="str">
        <x:v>Sem informação</x:v>
      </x:c>
      <x:c r="P974" s="26"/>
      <x:c r="Q974" s="13" t="str"/>
      <x:c r="R974" s="13" t="str"/>
      <x:c r="S974" s="13" t="str"/>
      <x:c r="T974" s="13" t="str"/>
    </x:row>
    <x:row r="975">
      <x:c r="A975" s="13" t="str">
        <x:v>Luiz Henrique</x:v>
      </x:c>
      <x:c r="B975" s="13" t="n">
        <x:v>2029</x:v>
      </x:c>
      <x:c r="C975" s="13" t="str">
        <x:v>T2</x:v>
      </x:c>
      <x:c r="D975" s="24" t="n">
        <x:v>47299</x:v>
      </x:c>
      <x:c r="E975" s="13" t="str">
        <x:v>Ponta-direita</x:v>
      </x:c>
      <x:c r="F975" s="13" t="str">
        <x:v>Zenit São Petersburgo</x:v>
      </x:c>
      <x:c r="G975" s="16"/>
      <x:c r="H975" s="16"/>
      <x:c r="I975" s="16"/>
      <x:c r="J975" s="16"/>
      <x:c r="K975" s="16" t="str">
        <x:f>IF(COUNT(G975,I975)=0,"",AVERAGE(G975,I975))</x:f>
      </x:c>
      <x:c r="L975" s="16" t="str">
        <x:f>IF(COUNT(H975,J975)=0,"",AVERAGE(H975,J975))</x:f>
      </x:c>
      <x:c r="M975" s="16" t="str">
        <x:f>IF(OR(K975="",L975=""),"",L975-K975)</x:f>
      </x:c>
      <x:c r="N975" s="16" t="str">
        <x:f>IF(AND(A975=A974,ISNUMBER(K975),ISNUMBER(K974)),K975-K974,"")</x:f>
      </x:c>
      <x:c r="O975" s="13" t="str">
        <x:v>Sem informação</x:v>
      </x:c>
      <x:c r="P975" s="26"/>
      <x:c r="Q975" s="13" t="str"/>
      <x:c r="R975" s="13" t="str"/>
      <x:c r="S975" s="13" t="str"/>
      <x:c r="T975" s="13" t="str"/>
    </x:row>
    <x:row r="976">
      <x:c r="A976" s="13" t="str">
        <x:v>Luiz Henrique</x:v>
      </x:c>
      <x:c r="B976" s="13" t="n">
        <x:v>2029</x:v>
      </x:c>
      <x:c r="C976" s="13" t="str">
        <x:v>T3</x:v>
      </x:c>
      <x:c r="D976" s="24" t="n">
        <x:v>47391</x:v>
      </x:c>
      <x:c r="E976" s="13" t="str">
        <x:v>Ponta-direita</x:v>
      </x:c>
      <x:c r="F976" s="13" t="str">
        <x:v>Zenit São Petersburgo</x:v>
      </x:c>
      <x:c r="G976" s="16"/>
      <x:c r="H976" s="16"/>
      <x:c r="I976" s="16"/>
      <x:c r="J976" s="16"/>
      <x:c r="K976" s="16" t="str">
        <x:f>IF(COUNT(G976,I976)=0,"",AVERAGE(G976,I976))</x:f>
      </x:c>
      <x:c r="L976" s="16" t="str">
        <x:f>IF(COUNT(H976,J976)=0,"",AVERAGE(H976,J976))</x:f>
      </x:c>
      <x:c r="M976" s="16" t="str">
        <x:f>IF(OR(K976="",L976=""),"",L976-K976)</x:f>
      </x:c>
      <x:c r="N976" s="16" t="str">
        <x:f>IF(AND(A976=A975,ISNUMBER(K976),ISNUMBER(K975)),K976-K975,"")</x:f>
      </x:c>
      <x:c r="O976" s="13" t="str">
        <x:v>Sem informação</x:v>
      </x:c>
      <x:c r="P976" s="26"/>
      <x:c r="Q976" s="13" t="str"/>
      <x:c r="R976" s="13" t="str"/>
      <x:c r="S976" s="13" t="str"/>
      <x:c r="T976" s="13" t="str"/>
    </x:row>
    <x:row r="977">
      <x:c r="A977" s="13" t="str">
        <x:v>Luiz Henrique</x:v>
      </x:c>
      <x:c r="B977" s="13" t="n">
        <x:v>2029</x:v>
      </x:c>
      <x:c r="C977" s="13" t="str">
        <x:v>T4</x:v>
      </x:c>
      <x:c r="D977" s="24" t="n">
        <x:v>47483</x:v>
      </x:c>
      <x:c r="E977" s="13" t="str">
        <x:v>Ponta-direita</x:v>
      </x:c>
      <x:c r="F977" s="13" t="str">
        <x:v>Zenit São Petersburgo</x:v>
      </x:c>
      <x:c r="G977" s="16"/>
      <x:c r="H977" s="16"/>
      <x:c r="I977" s="16"/>
      <x:c r="J977" s="16"/>
      <x:c r="K977" s="16" t="str">
        <x:f>IF(COUNT(G977,I977)=0,"",AVERAGE(G977,I977))</x:f>
      </x:c>
      <x:c r="L977" s="16" t="str">
        <x:f>IF(COUNT(H977,J977)=0,"",AVERAGE(H977,J977))</x:f>
      </x:c>
      <x:c r="M977" s="16" t="str">
        <x:f>IF(OR(K977="",L977=""),"",L977-K977)</x:f>
      </x:c>
      <x:c r="N977" s="16" t="str">
        <x:f>IF(AND(A977=A976,ISNUMBER(K977),ISNUMBER(K976)),K977-K976,"")</x:f>
      </x:c>
      <x:c r="O977" s="13" t="str">
        <x:v>Sem informação</x:v>
      </x:c>
      <x:c r="P977" s="26"/>
      <x:c r="Q977" s="13" t="str"/>
      <x:c r="R977" s="13" t="str"/>
      <x:c r="S977" s="13" t="str"/>
      <x:c r="T977" s="13" t="str"/>
    </x:row>
    <x:row r="978">
      <x:c r="A978" s="13" t="str">
        <x:v>Luiz Henrique</x:v>
      </x:c>
      <x:c r="B978" s="13" t="n">
        <x:v>2030</x:v>
      </x:c>
      <x:c r="C978" s="13" t="str">
        <x:v>T1</x:v>
      </x:c>
      <x:c r="D978" s="24" t="n">
        <x:v>47573</x:v>
      </x:c>
      <x:c r="E978" s="13" t="str">
        <x:v>Ponta-direita</x:v>
      </x:c>
      <x:c r="F978" s="13" t="str">
        <x:v>Zenit São Petersburgo</x:v>
      </x:c>
      <x:c r="G978" s="16"/>
      <x:c r="H978" s="16"/>
      <x:c r="I978" s="16"/>
      <x:c r="J978" s="16"/>
      <x:c r="K978" s="16" t="str">
        <x:f>IF(COUNT(G978,I978)=0,"",AVERAGE(G978,I978))</x:f>
      </x:c>
      <x:c r="L978" s="16" t="str">
        <x:f>IF(COUNT(H978,J978)=0,"",AVERAGE(H978,J978))</x:f>
      </x:c>
      <x:c r="M978" s="16" t="str">
        <x:f>IF(OR(K978="",L978=""),"",L978-K978)</x:f>
      </x:c>
      <x:c r="N978" s="16" t="str">
        <x:f>IF(AND(A978=A977,ISNUMBER(K978),ISNUMBER(K977)),K978-K977,"")</x:f>
      </x:c>
      <x:c r="O978" s="13" t="str">
        <x:v>Sem informação</x:v>
      </x:c>
      <x:c r="P978" s="26"/>
      <x:c r="Q978" s="13" t="str"/>
      <x:c r="R978" s="13" t="str"/>
      <x:c r="S978" s="13" t="str"/>
      <x:c r="T978" s="13" t="str"/>
    </x:row>
    <x:row r="979">
      <x:c r="A979" s="13" t="str">
        <x:v>Luiz Henrique</x:v>
      </x:c>
      <x:c r="B979" s="13" t="n">
        <x:v>2030</x:v>
      </x:c>
      <x:c r="C979" s="13" t="str">
        <x:v>T2</x:v>
      </x:c>
      <x:c r="D979" s="24" t="n">
        <x:v>47664</x:v>
      </x:c>
      <x:c r="E979" s="13" t="str">
        <x:v>Ponta-direita</x:v>
      </x:c>
      <x:c r="F979" s="13" t="str">
        <x:v>Zenit São Petersburgo</x:v>
      </x:c>
      <x:c r="G979" s="16"/>
      <x:c r="H979" s="16"/>
      <x:c r="I979" s="16"/>
      <x:c r="J979" s="16"/>
      <x:c r="K979" s="16" t="str">
        <x:f>IF(COUNT(G979,I979)=0,"",AVERAGE(G979,I979))</x:f>
      </x:c>
      <x:c r="L979" s="16" t="str">
        <x:f>IF(COUNT(H979,J979)=0,"",AVERAGE(H979,J979))</x:f>
      </x:c>
      <x:c r="M979" s="16" t="str">
        <x:f>IF(OR(K979="",L979=""),"",L979-K979)</x:f>
      </x:c>
      <x:c r="N979" s="16" t="str">
        <x:f>IF(AND(A979=A978,ISNUMBER(K979),ISNUMBER(K978)),K979-K978,"")</x:f>
      </x:c>
      <x:c r="O979" s="13" t="str">
        <x:v>Sem informação</x:v>
      </x:c>
      <x:c r="P979" s="26"/>
      <x:c r="Q979" s="13" t="str"/>
      <x:c r="R979" s="13" t="str"/>
      <x:c r="S979" s="13" t="str"/>
      <x:c r="T979" s="13" t="str"/>
    </x:row>
    <x:row r="980">
      <x:c r="A980" s="13" t="str">
        <x:v>Luiz Henrique</x:v>
      </x:c>
      <x:c r="B980" s="13" t="n">
        <x:v>2030</x:v>
      </x:c>
      <x:c r="C980" s="13" t="str">
        <x:v>T3</x:v>
      </x:c>
      <x:c r="D980" s="24" t="n">
        <x:v>47756</x:v>
      </x:c>
      <x:c r="E980" s="13" t="str">
        <x:v>Ponta-direita</x:v>
      </x:c>
      <x:c r="F980" s="13" t="str">
        <x:v>Zenit São Petersburgo</x:v>
      </x:c>
      <x:c r="G980" s="16"/>
      <x:c r="H980" s="16"/>
      <x:c r="I980" s="16"/>
      <x:c r="J980" s="16"/>
      <x:c r="K980" s="16" t="str">
        <x:f>IF(COUNT(G980,I980)=0,"",AVERAGE(G980,I980))</x:f>
      </x:c>
      <x:c r="L980" s="16" t="str">
        <x:f>IF(COUNT(H980,J980)=0,"",AVERAGE(H980,J980))</x:f>
      </x:c>
      <x:c r="M980" s="16" t="str">
        <x:f>IF(OR(K980="",L980=""),"",L980-K980)</x:f>
      </x:c>
      <x:c r="N980" s="16" t="str">
        <x:f>IF(AND(A980=A979,ISNUMBER(K980),ISNUMBER(K979)),K980-K979,"")</x:f>
      </x:c>
      <x:c r="O980" s="13" t="str">
        <x:v>Sem informação</x:v>
      </x:c>
      <x:c r="P980" s="26"/>
      <x:c r="Q980" s="13" t="str"/>
      <x:c r="R980" s="13" t="str"/>
      <x:c r="S980" s="13" t="str"/>
      <x:c r="T980" s="13" t="str"/>
    </x:row>
    <x:row r="981">
      <x:c r="A981" s="13" t="str">
        <x:v>Luiz Henrique</x:v>
      </x:c>
      <x:c r="B981" s="13" t="n">
        <x:v>2030</x:v>
      </x:c>
      <x:c r="C981" s="13" t="str">
        <x:v>T4</x:v>
      </x:c>
      <x:c r="D981" s="24" t="n">
        <x:v>47848</x:v>
      </x:c>
      <x:c r="E981" s="13" t="str">
        <x:v>Ponta-direita</x:v>
      </x:c>
      <x:c r="F981" s="13" t="str">
        <x:v>Zenit São Petersburgo</x:v>
      </x:c>
      <x:c r="G981" s="16"/>
      <x:c r="H981" s="16"/>
      <x:c r="I981" s="16"/>
      <x:c r="J981" s="16"/>
      <x:c r="K981" s="16" t="str">
        <x:f>IF(COUNT(G981,I981)=0,"",AVERAGE(G981,I981))</x:f>
      </x:c>
      <x:c r="L981" s="16" t="str">
        <x:f>IF(COUNT(H981,J981)=0,"",AVERAGE(H981,J981))</x:f>
      </x:c>
      <x:c r="M981" s="16" t="str">
        <x:f>IF(OR(K981="",L981=""),"",L981-K981)</x:f>
      </x:c>
      <x:c r="N981" s="16" t="str">
        <x:f>IF(AND(A981=A980,ISNUMBER(K981),ISNUMBER(K980)),K981-K980,"")</x:f>
      </x:c>
      <x:c r="O981" s="13" t="str">
        <x:v>Sem informação</x:v>
      </x:c>
      <x:c r="P981" s="26"/>
      <x:c r="Q981" s="13" t="str"/>
      <x:c r="R981" s="13" t="str"/>
      <x:c r="S981" s="13" t="str"/>
      <x:c r="T981" s="13" t="str"/>
    </x:row>
    <x:row r="982">
      <x:c r="A982" s="13" t="str">
        <x:v>Luiz Júnior</x:v>
      </x:c>
      <x:c r="B982" s="13" t="n">
        <x:v>2026</x:v>
      </x:c>
      <x:c r="C982" s="13" t="str">
        <x:v>T1</x:v>
      </x:c>
      <x:c r="D982" s="24" t="n">
        <x:v>46112</x:v>
      </x:c>
      <x:c r="E982" s="13" t="str">
        <x:v>Goleiro</x:v>
      </x:c>
      <x:c r="F982" s="13" t="str">
        <x:v>FC Villarreal</x:v>
      </x:c>
      <x:c r="G982" s="16"/>
      <x:c r="H982" s="16"/>
      <x:c r="I982" s="16"/>
      <x:c r="J982" s="16"/>
      <x:c r="K982" s="16" t="str">
        <x:f>IF(COUNT(G982,I982)=0,"",AVERAGE(G982,I982))</x:f>
      </x:c>
      <x:c r="L982" s="16" t="str">
        <x:f>IF(COUNT(H982,J982)=0,"",AVERAGE(H982,J982))</x:f>
      </x:c>
      <x:c r="M982" s="16" t="str">
        <x:f>IF(OR(K982="",L982=""),"",L982-K982)</x:f>
      </x:c>
      <x:c r="N982" s="16" t="str">
        <x:f>""</x:f>
      </x:c>
      <x:c r="O982" s="13" t="str">
        <x:v>Sem informação</x:v>
      </x:c>
      <x:c r="P982" s="26"/>
      <x:c r="Q982" s="13" t="str"/>
      <x:c r="R982" s="13" t="str"/>
      <x:c r="S982" s="13" t="str"/>
      <x:c r="T982" s="13" t="str"/>
    </x:row>
    <x:row r="983">
      <x:c r="A983" s="13" t="str">
        <x:v>Luiz Júnior</x:v>
      </x:c>
      <x:c r="B983" s="13" t="n">
        <x:v>2026</x:v>
      </x:c>
      <x:c r="C983" s="13" t="str">
        <x:v>T2</x:v>
      </x:c>
      <x:c r="D983" s="24" t="n">
        <x:v>46203</x:v>
      </x:c>
      <x:c r="E983" s="13" t="str">
        <x:v>Goleiro</x:v>
      </x:c>
      <x:c r="F983" s="13" t="str">
        <x:v>FC Villarreal</x:v>
      </x:c>
      <x:c r="G983" s="16"/>
      <x:c r="H983" s="16"/>
      <x:c r="I983" s="16"/>
      <x:c r="J983" s="16"/>
      <x:c r="K983" s="16" t="str">
        <x:f>IF(COUNT(G983,I983)=0,"",AVERAGE(G983,I983))</x:f>
      </x:c>
      <x:c r="L983" s="16" t="str">
        <x:f>IF(COUNT(H983,J983)=0,"",AVERAGE(H983,J983))</x:f>
      </x:c>
      <x:c r="M983" s="16" t="str">
        <x:f>IF(OR(K983="",L983=""),"",L983-K983)</x:f>
      </x:c>
      <x:c r="N983" s="16" t="str">
        <x:f>IF(AND(A983=A982,ISNUMBER(K983),ISNUMBER(K982)),K983-K982,"")</x:f>
      </x:c>
      <x:c r="O983" s="13" t="str">
        <x:v>Sem informação</x:v>
      </x:c>
      <x:c r="P983" s="26"/>
      <x:c r="Q983" s="13" t="str"/>
      <x:c r="R983" s="13" t="str"/>
      <x:c r="S983" s="13" t="str"/>
      <x:c r="T983" s="13" t="str"/>
    </x:row>
    <x:row r="984">
      <x:c r="A984" s="13" t="str">
        <x:v>Luiz Júnior</x:v>
      </x:c>
      <x:c r="B984" s="13" t="n">
        <x:v>2026</x:v>
      </x:c>
      <x:c r="C984" s="13" t="str">
        <x:v>T3</x:v>
      </x:c>
      <x:c r="D984" s="24" t="n">
        <x:v>46295</x:v>
      </x:c>
      <x:c r="E984" s="13" t="str">
        <x:v>Goleiro</x:v>
      </x:c>
      <x:c r="F984" s="13" t="str">
        <x:v>FC Villarreal</x:v>
      </x:c>
      <x:c r="G984" s="16"/>
      <x:c r="H984" s="16"/>
      <x:c r="I984" s="16"/>
      <x:c r="J984" s="16"/>
      <x:c r="K984" s="16" t="str">
        <x:f>IF(COUNT(G984,I984)=0,"",AVERAGE(G984,I984))</x:f>
      </x:c>
      <x:c r="L984" s="16" t="str">
        <x:f>IF(COUNT(H984,J984)=0,"",AVERAGE(H984,J984))</x:f>
      </x:c>
      <x:c r="M984" s="16" t="str">
        <x:f>IF(OR(K984="",L984=""),"",L984-K984)</x:f>
      </x:c>
      <x:c r="N984" s="16" t="str">
        <x:f>IF(AND(A984=A983,ISNUMBER(K984),ISNUMBER(K983)),K984-K983,"")</x:f>
      </x:c>
      <x:c r="O984" s="13" t="str">
        <x:v>Sem informação</x:v>
      </x:c>
      <x:c r="P984" s="26"/>
      <x:c r="Q984" s="13" t="str"/>
      <x:c r="R984" s="13" t="str"/>
      <x:c r="S984" s="13" t="str"/>
      <x:c r="T984" s="13" t="str"/>
    </x:row>
    <x:row r="985">
      <x:c r="A985" s="13" t="str">
        <x:v>Luiz Júnior</x:v>
      </x:c>
      <x:c r="B985" s="13" t="n">
        <x:v>2026</x:v>
      </x:c>
      <x:c r="C985" s="13" t="str">
        <x:v>T4</x:v>
      </x:c>
      <x:c r="D985" s="24" t="n">
        <x:v>46387</x:v>
      </x:c>
      <x:c r="E985" s="13" t="str">
        <x:v>Goleiro</x:v>
      </x:c>
      <x:c r="F985" s="13" t="str">
        <x:v>FC Villarreal</x:v>
      </x:c>
      <x:c r="G985" s="16"/>
      <x:c r="H985" s="16"/>
      <x:c r="I985" s="16"/>
      <x:c r="J985" s="16"/>
      <x:c r="K985" s="16" t="str">
        <x:f>IF(COUNT(G985,I985)=0,"",AVERAGE(G985,I985))</x:f>
      </x:c>
      <x:c r="L985" s="16" t="str">
        <x:f>IF(COUNT(H985,J985)=0,"",AVERAGE(H985,J985))</x:f>
      </x:c>
      <x:c r="M985" s="16" t="str">
        <x:f>IF(OR(K985="",L985=""),"",L985-K985)</x:f>
      </x:c>
      <x:c r="N985" s="16" t="str">
        <x:f>IF(AND(A985=A984,ISNUMBER(K985),ISNUMBER(K984)),K985-K984,"")</x:f>
      </x:c>
      <x:c r="O985" s="13" t="str">
        <x:v>Sem informação</x:v>
      </x:c>
      <x:c r="P985" s="26"/>
      <x:c r="Q985" s="13" t="str"/>
      <x:c r="R985" s="13" t="str"/>
      <x:c r="S985" s="13" t="str"/>
      <x:c r="T985" s="13" t="str"/>
    </x:row>
    <x:row r="986">
      <x:c r="A986" s="13" t="str">
        <x:v>Luiz Júnior</x:v>
      </x:c>
      <x:c r="B986" s="13" t="n">
        <x:v>2027</x:v>
      </x:c>
      <x:c r="C986" s="13" t="str">
        <x:v>T1</x:v>
      </x:c>
      <x:c r="D986" s="24" t="n">
        <x:v>46477</x:v>
      </x:c>
      <x:c r="E986" s="13" t="str">
        <x:v>Goleiro</x:v>
      </x:c>
      <x:c r="F986" s="13" t="str">
        <x:v>FC Villarreal</x:v>
      </x:c>
      <x:c r="G986" s="16"/>
      <x:c r="H986" s="16"/>
      <x:c r="I986" s="16"/>
      <x:c r="J986" s="16"/>
      <x:c r="K986" s="16" t="str">
        <x:f>IF(COUNT(G986,I986)=0,"",AVERAGE(G986,I986))</x:f>
      </x:c>
      <x:c r="L986" s="16" t="str">
        <x:f>IF(COUNT(H986,J986)=0,"",AVERAGE(H986,J986))</x:f>
      </x:c>
      <x:c r="M986" s="16" t="str">
        <x:f>IF(OR(K986="",L986=""),"",L986-K986)</x:f>
      </x:c>
      <x:c r="N986" s="16" t="str">
        <x:f>IF(AND(A986=A985,ISNUMBER(K986),ISNUMBER(K985)),K986-K985,"")</x:f>
      </x:c>
      <x:c r="O986" s="13" t="str">
        <x:v>Sem informação</x:v>
      </x:c>
      <x:c r="P986" s="26"/>
      <x:c r="Q986" s="13" t="str"/>
      <x:c r="R986" s="13" t="str"/>
      <x:c r="S986" s="13" t="str"/>
      <x:c r="T986" s="13" t="str"/>
    </x:row>
    <x:row r="987">
      <x:c r="A987" s="13" t="str">
        <x:v>Luiz Júnior</x:v>
      </x:c>
      <x:c r="B987" s="13" t="n">
        <x:v>2027</x:v>
      </x:c>
      <x:c r="C987" s="13" t="str">
        <x:v>T2</x:v>
      </x:c>
      <x:c r="D987" s="24" t="n">
        <x:v>46568</x:v>
      </x:c>
      <x:c r="E987" s="13" t="str">
        <x:v>Goleiro</x:v>
      </x:c>
      <x:c r="F987" s="13" t="str">
        <x:v>FC Villarreal</x:v>
      </x:c>
      <x:c r="G987" s="16"/>
      <x:c r="H987" s="16"/>
      <x:c r="I987" s="16"/>
      <x:c r="J987" s="16"/>
      <x:c r="K987" s="16" t="str">
        <x:f>IF(COUNT(G987,I987)=0,"",AVERAGE(G987,I987))</x:f>
      </x:c>
      <x:c r="L987" s="16" t="str">
        <x:f>IF(COUNT(H987,J987)=0,"",AVERAGE(H987,J987))</x:f>
      </x:c>
      <x:c r="M987" s="16" t="str">
        <x:f>IF(OR(K987="",L987=""),"",L987-K987)</x:f>
      </x:c>
      <x:c r="N987" s="16" t="str">
        <x:f>IF(AND(A987=A986,ISNUMBER(K987),ISNUMBER(K986)),K987-K986,"")</x:f>
      </x:c>
      <x:c r="O987" s="13" t="str">
        <x:v>Sem informação</x:v>
      </x:c>
      <x:c r="P987" s="26"/>
      <x:c r="Q987" s="13" t="str"/>
      <x:c r="R987" s="13" t="str"/>
      <x:c r="S987" s="13" t="str"/>
      <x:c r="T987" s="13" t="str"/>
    </x:row>
    <x:row r="988">
      <x:c r="A988" s="13" t="str">
        <x:v>Luiz Júnior</x:v>
      </x:c>
      <x:c r="B988" s="13" t="n">
        <x:v>2027</x:v>
      </x:c>
      <x:c r="C988" s="13" t="str">
        <x:v>T3</x:v>
      </x:c>
      <x:c r="D988" s="24" t="n">
        <x:v>46660</x:v>
      </x:c>
      <x:c r="E988" s="13" t="str">
        <x:v>Goleiro</x:v>
      </x:c>
      <x:c r="F988" s="13" t="str">
        <x:v>FC Villarreal</x:v>
      </x:c>
      <x:c r="G988" s="16"/>
      <x:c r="H988" s="16"/>
      <x:c r="I988" s="16"/>
      <x:c r="J988" s="16"/>
      <x:c r="K988" s="16" t="str">
        <x:f>IF(COUNT(G988,I988)=0,"",AVERAGE(G988,I988))</x:f>
      </x:c>
      <x:c r="L988" s="16" t="str">
        <x:f>IF(COUNT(H988,J988)=0,"",AVERAGE(H988,J988))</x:f>
      </x:c>
      <x:c r="M988" s="16" t="str">
        <x:f>IF(OR(K988="",L988=""),"",L988-K988)</x:f>
      </x:c>
      <x:c r="N988" s="16" t="str">
        <x:f>IF(AND(A988=A987,ISNUMBER(K988),ISNUMBER(K987)),K988-K987,"")</x:f>
      </x:c>
      <x:c r="O988" s="13" t="str">
        <x:v>Sem informação</x:v>
      </x:c>
      <x:c r="P988" s="26"/>
      <x:c r="Q988" s="13" t="str"/>
      <x:c r="R988" s="13" t="str"/>
      <x:c r="S988" s="13" t="str"/>
      <x:c r="T988" s="13" t="str"/>
    </x:row>
    <x:row r="989">
      <x:c r="A989" s="13" t="str">
        <x:v>Luiz Júnior</x:v>
      </x:c>
      <x:c r="B989" s="13" t="n">
        <x:v>2027</x:v>
      </x:c>
      <x:c r="C989" s="13" t="str">
        <x:v>T4</x:v>
      </x:c>
      <x:c r="D989" s="24" t="n">
        <x:v>46752</x:v>
      </x:c>
      <x:c r="E989" s="13" t="str">
        <x:v>Goleiro</x:v>
      </x:c>
      <x:c r="F989" s="13" t="str">
        <x:v>FC Villarreal</x:v>
      </x:c>
      <x:c r="G989" s="16"/>
      <x:c r="H989" s="16"/>
      <x:c r="I989" s="16"/>
      <x:c r="J989" s="16"/>
      <x:c r="K989" s="16" t="str">
        <x:f>IF(COUNT(G989,I989)=0,"",AVERAGE(G989,I989))</x:f>
      </x:c>
      <x:c r="L989" s="16" t="str">
        <x:f>IF(COUNT(H989,J989)=0,"",AVERAGE(H989,J989))</x:f>
      </x:c>
      <x:c r="M989" s="16" t="str">
        <x:f>IF(OR(K989="",L989=""),"",L989-K989)</x:f>
      </x:c>
      <x:c r="N989" s="16" t="str">
        <x:f>IF(AND(A989=A988,ISNUMBER(K989),ISNUMBER(K988)),K989-K988,"")</x:f>
      </x:c>
      <x:c r="O989" s="13" t="str">
        <x:v>Sem informação</x:v>
      </x:c>
      <x:c r="P989" s="26"/>
      <x:c r="Q989" s="13" t="str"/>
      <x:c r="R989" s="13" t="str"/>
      <x:c r="S989" s="13" t="str"/>
      <x:c r="T989" s="13" t="str"/>
    </x:row>
    <x:row r="990">
      <x:c r="A990" s="13" t="str">
        <x:v>Luiz Júnior</x:v>
      </x:c>
      <x:c r="B990" s="13" t="n">
        <x:v>2028</x:v>
      </x:c>
      <x:c r="C990" s="13" t="str">
        <x:v>T1</x:v>
      </x:c>
      <x:c r="D990" s="24" t="n">
        <x:v>46843</x:v>
      </x:c>
      <x:c r="E990" s="13" t="str">
        <x:v>Goleiro</x:v>
      </x:c>
      <x:c r="F990" s="13" t="str">
        <x:v>FC Villarreal</x:v>
      </x:c>
      <x:c r="G990" s="16"/>
      <x:c r="H990" s="16"/>
      <x:c r="I990" s="16"/>
      <x:c r="J990" s="16"/>
      <x:c r="K990" s="16" t="str">
        <x:f>IF(COUNT(G990,I990)=0,"",AVERAGE(G990,I990))</x:f>
      </x:c>
      <x:c r="L990" s="16" t="str">
        <x:f>IF(COUNT(H990,J990)=0,"",AVERAGE(H990,J990))</x:f>
      </x:c>
      <x:c r="M990" s="16" t="str">
        <x:f>IF(OR(K990="",L990=""),"",L990-K990)</x:f>
      </x:c>
      <x:c r="N990" s="16" t="str">
        <x:f>IF(AND(A990=A989,ISNUMBER(K990),ISNUMBER(K989)),K990-K989,"")</x:f>
      </x:c>
      <x:c r="O990" s="13" t="str">
        <x:v>Sem informação</x:v>
      </x:c>
      <x:c r="P990" s="26"/>
      <x:c r="Q990" s="13" t="str"/>
      <x:c r="R990" s="13" t="str"/>
      <x:c r="S990" s="13" t="str"/>
      <x:c r="T990" s="13" t="str"/>
    </x:row>
    <x:row r="991">
      <x:c r="A991" s="13" t="str">
        <x:v>Luiz Júnior</x:v>
      </x:c>
      <x:c r="B991" s="13" t="n">
        <x:v>2028</x:v>
      </x:c>
      <x:c r="C991" s="13" t="str">
        <x:v>T2</x:v>
      </x:c>
      <x:c r="D991" s="24" t="n">
        <x:v>46934</x:v>
      </x:c>
      <x:c r="E991" s="13" t="str">
        <x:v>Goleiro</x:v>
      </x:c>
      <x:c r="F991" s="13" t="str">
        <x:v>FC Villarreal</x:v>
      </x:c>
      <x:c r="G991" s="16"/>
      <x:c r="H991" s="16"/>
      <x:c r="I991" s="16"/>
      <x:c r="J991" s="16"/>
      <x:c r="K991" s="16" t="str">
        <x:f>IF(COUNT(G991,I991)=0,"",AVERAGE(G991,I991))</x:f>
      </x:c>
      <x:c r="L991" s="16" t="str">
        <x:f>IF(COUNT(H991,J991)=0,"",AVERAGE(H991,J991))</x:f>
      </x:c>
      <x:c r="M991" s="16" t="str">
        <x:f>IF(OR(K991="",L991=""),"",L991-K991)</x:f>
      </x:c>
      <x:c r="N991" s="16" t="str">
        <x:f>IF(AND(A991=A990,ISNUMBER(K991),ISNUMBER(K990)),K991-K990,"")</x:f>
      </x:c>
      <x:c r="O991" s="13" t="str">
        <x:v>Sem informação</x:v>
      </x:c>
      <x:c r="P991" s="26"/>
      <x:c r="Q991" s="13" t="str"/>
      <x:c r="R991" s="13" t="str"/>
      <x:c r="S991" s="13" t="str"/>
      <x:c r="T991" s="13" t="str"/>
    </x:row>
    <x:row r="992">
      <x:c r="A992" s="13" t="str">
        <x:v>Luiz Júnior</x:v>
      </x:c>
      <x:c r="B992" s="13" t="n">
        <x:v>2028</x:v>
      </x:c>
      <x:c r="C992" s="13" t="str">
        <x:v>T3</x:v>
      </x:c>
      <x:c r="D992" s="24" t="n">
        <x:v>47026</x:v>
      </x:c>
      <x:c r="E992" s="13" t="str">
        <x:v>Goleiro</x:v>
      </x:c>
      <x:c r="F992" s="13" t="str">
        <x:v>FC Villarreal</x:v>
      </x:c>
      <x:c r="G992" s="16"/>
      <x:c r="H992" s="16"/>
      <x:c r="I992" s="16"/>
      <x:c r="J992" s="16"/>
      <x:c r="K992" s="16" t="str">
        <x:f>IF(COUNT(G992,I992)=0,"",AVERAGE(G992,I992))</x:f>
      </x:c>
      <x:c r="L992" s="16" t="str">
        <x:f>IF(COUNT(H992,J992)=0,"",AVERAGE(H992,J992))</x:f>
      </x:c>
      <x:c r="M992" s="16" t="str">
        <x:f>IF(OR(K992="",L992=""),"",L992-K992)</x:f>
      </x:c>
      <x:c r="N992" s="16" t="str">
        <x:f>IF(AND(A992=A991,ISNUMBER(K992),ISNUMBER(K991)),K992-K991,"")</x:f>
      </x:c>
      <x:c r="O992" s="13" t="str">
        <x:v>Sem informação</x:v>
      </x:c>
      <x:c r="P992" s="26"/>
      <x:c r="Q992" s="13" t="str"/>
      <x:c r="R992" s="13" t="str"/>
      <x:c r="S992" s="13" t="str"/>
      <x:c r="T992" s="13" t="str"/>
    </x:row>
    <x:row r="993">
      <x:c r="A993" s="13" t="str">
        <x:v>Luiz Júnior</x:v>
      </x:c>
      <x:c r="B993" s="13" t="n">
        <x:v>2028</x:v>
      </x:c>
      <x:c r="C993" s="13" t="str">
        <x:v>T4</x:v>
      </x:c>
      <x:c r="D993" s="24" t="n">
        <x:v>47118</x:v>
      </x:c>
      <x:c r="E993" s="13" t="str">
        <x:v>Goleiro</x:v>
      </x:c>
      <x:c r="F993" s="13" t="str">
        <x:v>FC Villarreal</x:v>
      </x:c>
      <x:c r="G993" s="16"/>
      <x:c r="H993" s="16"/>
      <x:c r="I993" s="16"/>
      <x:c r="J993" s="16"/>
      <x:c r="K993" s="16" t="str">
        <x:f>IF(COUNT(G993,I993)=0,"",AVERAGE(G993,I993))</x:f>
      </x:c>
      <x:c r="L993" s="16" t="str">
        <x:f>IF(COUNT(H993,J993)=0,"",AVERAGE(H993,J993))</x:f>
      </x:c>
      <x:c r="M993" s="16" t="str">
        <x:f>IF(OR(K993="",L993=""),"",L993-K993)</x:f>
      </x:c>
      <x:c r="N993" s="16" t="str">
        <x:f>IF(AND(A993=A992,ISNUMBER(K993),ISNUMBER(K992)),K993-K992,"")</x:f>
      </x:c>
      <x:c r="O993" s="13" t="str">
        <x:v>Sem informação</x:v>
      </x:c>
      <x:c r="P993" s="26"/>
      <x:c r="Q993" s="13" t="str"/>
      <x:c r="R993" s="13" t="str"/>
      <x:c r="S993" s="13" t="str"/>
      <x:c r="T993" s="13" t="str"/>
    </x:row>
    <x:row r="994">
      <x:c r="A994" s="13" t="str">
        <x:v>Luiz Júnior</x:v>
      </x:c>
      <x:c r="B994" s="13" t="n">
        <x:v>2029</x:v>
      </x:c>
      <x:c r="C994" s="13" t="str">
        <x:v>T1</x:v>
      </x:c>
      <x:c r="D994" s="24" t="n">
        <x:v>47208</x:v>
      </x:c>
      <x:c r="E994" s="13" t="str">
        <x:v>Goleiro</x:v>
      </x:c>
      <x:c r="F994" s="13" t="str">
        <x:v>FC Villarreal</x:v>
      </x:c>
      <x:c r="G994" s="16"/>
      <x:c r="H994" s="16"/>
      <x:c r="I994" s="16"/>
      <x:c r="J994" s="16"/>
      <x:c r="K994" s="16" t="str">
        <x:f>IF(COUNT(G994,I994)=0,"",AVERAGE(G994,I994))</x:f>
      </x:c>
      <x:c r="L994" s="16" t="str">
        <x:f>IF(COUNT(H994,J994)=0,"",AVERAGE(H994,J994))</x:f>
      </x:c>
      <x:c r="M994" s="16" t="str">
        <x:f>IF(OR(K994="",L994=""),"",L994-K994)</x:f>
      </x:c>
      <x:c r="N994" s="16" t="str">
        <x:f>IF(AND(A994=A993,ISNUMBER(K994),ISNUMBER(K993)),K994-K993,"")</x:f>
      </x:c>
      <x:c r="O994" s="13" t="str">
        <x:v>Sem informação</x:v>
      </x:c>
      <x:c r="P994" s="26"/>
      <x:c r="Q994" s="13" t="str"/>
      <x:c r="R994" s="13" t="str"/>
      <x:c r="S994" s="13" t="str"/>
      <x:c r="T994" s="13" t="str"/>
    </x:row>
    <x:row r="995">
      <x:c r="A995" s="13" t="str">
        <x:v>Luiz Júnior</x:v>
      </x:c>
      <x:c r="B995" s="13" t="n">
        <x:v>2029</x:v>
      </x:c>
      <x:c r="C995" s="13" t="str">
        <x:v>T2</x:v>
      </x:c>
      <x:c r="D995" s="24" t="n">
        <x:v>47299</x:v>
      </x:c>
      <x:c r="E995" s="13" t="str">
        <x:v>Goleiro</x:v>
      </x:c>
      <x:c r="F995" s="13" t="str">
        <x:v>FC Villarreal</x:v>
      </x:c>
      <x:c r="G995" s="16"/>
      <x:c r="H995" s="16"/>
      <x:c r="I995" s="16"/>
      <x:c r="J995" s="16"/>
      <x:c r="K995" s="16" t="str">
        <x:f>IF(COUNT(G995,I995)=0,"",AVERAGE(G995,I995))</x:f>
      </x:c>
      <x:c r="L995" s="16" t="str">
        <x:f>IF(COUNT(H995,J995)=0,"",AVERAGE(H995,J995))</x:f>
      </x:c>
      <x:c r="M995" s="16" t="str">
        <x:f>IF(OR(K995="",L995=""),"",L995-K995)</x:f>
      </x:c>
      <x:c r="N995" s="16" t="str">
        <x:f>IF(AND(A995=A994,ISNUMBER(K995),ISNUMBER(K994)),K995-K994,"")</x:f>
      </x:c>
      <x:c r="O995" s="13" t="str">
        <x:v>Sem informação</x:v>
      </x:c>
      <x:c r="P995" s="26"/>
      <x:c r="Q995" s="13" t="str"/>
      <x:c r="R995" s="13" t="str"/>
      <x:c r="S995" s="13" t="str"/>
      <x:c r="T995" s="13" t="str"/>
    </x:row>
    <x:row r="996">
      <x:c r="A996" s="13" t="str">
        <x:v>Luiz Júnior</x:v>
      </x:c>
      <x:c r="B996" s="13" t="n">
        <x:v>2029</x:v>
      </x:c>
      <x:c r="C996" s="13" t="str">
        <x:v>T3</x:v>
      </x:c>
      <x:c r="D996" s="24" t="n">
        <x:v>47391</x:v>
      </x:c>
      <x:c r="E996" s="13" t="str">
        <x:v>Goleiro</x:v>
      </x:c>
      <x:c r="F996" s="13" t="str">
        <x:v>FC Villarreal</x:v>
      </x:c>
      <x:c r="G996" s="16"/>
      <x:c r="H996" s="16"/>
      <x:c r="I996" s="16"/>
      <x:c r="J996" s="16"/>
      <x:c r="K996" s="16" t="str">
        <x:f>IF(COUNT(G996,I996)=0,"",AVERAGE(G996,I996))</x:f>
      </x:c>
      <x:c r="L996" s="16" t="str">
        <x:f>IF(COUNT(H996,J996)=0,"",AVERAGE(H996,J996))</x:f>
      </x:c>
      <x:c r="M996" s="16" t="str">
        <x:f>IF(OR(K996="",L996=""),"",L996-K996)</x:f>
      </x:c>
      <x:c r="N996" s="16" t="str">
        <x:f>IF(AND(A996=A995,ISNUMBER(K996),ISNUMBER(K995)),K996-K995,"")</x:f>
      </x:c>
      <x:c r="O996" s="13" t="str">
        <x:v>Sem informação</x:v>
      </x:c>
      <x:c r="P996" s="26"/>
      <x:c r="Q996" s="13" t="str"/>
      <x:c r="R996" s="13" t="str"/>
      <x:c r="S996" s="13" t="str"/>
      <x:c r="T996" s="13" t="str"/>
    </x:row>
    <x:row r="997">
      <x:c r="A997" s="13" t="str">
        <x:v>Luiz Júnior</x:v>
      </x:c>
      <x:c r="B997" s="13" t="n">
        <x:v>2029</x:v>
      </x:c>
      <x:c r="C997" s="13" t="str">
        <x:v>T4</x:v>
      </x:c>
      <x:c r="D997" s="24" t="n">
        <x:v>47483</x:v>
      </x:c>
      <x:c r="E997" s="13" t="str">
        <x:v>Goleiro</x:v>
      </x:c>
      <x:c r="F997" s="13" t="str">
        <x:v>FC Villarreal</x:v>
      </x:c>
      <x:c r="G997" s="16"/>
      <x:c r="H997" s="16"/>
      <x:c r="I997" s="16"/>
      <x:c r="J997" s="16"/>
      <x:c r="K997" s="16" t="str">
        <x:f>IF(COUNT(G997,I997)=0,"",AVERAGE(G997,I997))</x:f>
      </x:c>
      <x:c r="L997" s="16" t="str">
        <x:f>IF(COUNT(H997,J997)=0,"",AVERAGE(H997,J997))</x:f>
      </x:c>
      <x:c r="M997" s="16" t="str">
        <x:f>IF(OR(K997="",L997=""),"",L997-K997)</x:f>
      </x:c>
      <x:c r="N997" s="16" t="str">
        <x:f>IF(AND(A997=A996,ISNUMBER(K997),ISNUMBER(K996)),K997-K996,"")</x:f>
      </x:c>
      <x:c r="O997" s="13" t="str">
        <x:v>Sem informação</x:v>
      </x:c>
      <x:c r="P997" s="26"/>
      <x:c r="Q997" s="13" t="str"/>
      <x:c r="R997" s="13" t="str"/>
      <x:c r="S997" s="13" t="str"/>
      <x:c r="T997" s="13" t="str"/>
    </x:row>
    <x:row r="998">
      <x:c r="A998" s="13" t="str">
        <x:v>Luiz Júnior</x:v>
      </x:c>
      <x:c r="B998" s="13" t="n">
        <x:v>2030</x:v>
      </x:c>
      <x:c r="C998" s="13" t="str">
        <x:v>T1</x:v>
      </x:c>
      <x:c r="D998" s="24" t="n">
        <x:v>47573</x:v>
      </x:c>
      <x:c r="E998" s="13" t="str">
        <x:v>Goleiro</x:v>
      </x:c>
      <x:c r="F998" s="13" t="str">
        <x:v>FC Villarreal</x:v>
      </x:c>
      <x:c r="G998" s="16"/>
      <x:c r="H998" s="16"/>
      <x:c r="I998" s="16"/>
      <x:c r="J998" s="16"/>
      <x:c r="K998" s="16" t="str">
        <x:f>IF(COUNT(G998,I998)=0,"",AVERAGE(G998,I998))</x:f>
      </x:c>
      <x:c r="L998" s="16" t="str">
        <x:f>IF(COUNT(H998,J998)=0,"",AVERAGE(H998,J998))</x:f>
      </x:c>
      <x:c r="M998" s="16" t="str">
        <x:f>IF(OR(K998="",L998=""),"",L998-K998)</x:f>
      </x:c>
      <x:c r="N998" s="16" t="str">
        <x:f>IF(AND(A998=A997,ISNUMBER(K998),ISNUMBER(K997)),K998-K997,"")</x:f>
      </x:c>
      <x:c r="O998" s="13" t="str">
        <x:v>Sem informação</x:v>
      </x:c>
      <x:c r="P998" s="26"/>
      <x:c r="Q998" s="13" t="str"/>
      <x:c r="R998" s="13" t="str"/>
      <x:c r="S998" s="13" t="str"/>
      <x:c r="T998" s="13" t="str"/>
    </x:row>
    <x:row r="999">
      <x:c r="A999" s="13" t="str">
        <x:v>Luiz Júnior</x:v>
      </x:c>
      <x:c r="B999" s="13" t="n">
        <x:v>2030</x:v>
      </x:c>
      <x:c r="C999" s="13" t="str">
        <x:v>T2</x:v>
      </x:c>
      <x:c r="D999" s="24" t="n">
        <x:v>47664</x:v>
      </x:c>
      <x:c r="E999" s="13" t="str">
        <x:v>Goleiro</x:v>
      </x:c>
      <x:c r="F999" s="13" t="str">
        <x:v>FC Villarreal</x:v>
      </x:c>
      <x:c r="G999" s="16"/>
      <x:c r="H999" s="16"/>
      <x:c r="I999" s="16"/>
      <x:c r="J999" s="16"/>
      <x:c r="K999" s="16" t="str">
        <x:f>IF(COUNT(G999,I999)=0,"",AVERAGE(G999,I999))</x:f>
      </x:c>
      <x:c r="L999" s="16" t="str">
        <x:f>IF(COUNT(H999,J999)=0,"",AVERAGE(H999,J999))</x:f>
      </x:c>
      <x:c r="M999" s="16" t="str">
        <x:f>IF(OR(K999="",L999=""),"",L999-K999)</x:f>
      </x:c>
      <x:c r="N999" s="16" t="str">
        <x:f>IF(AND(A999=A998,ISNUMBER(K999),ISNUMBER(K998)),K999-K998,"")</x:f>
      </x:c>
      <x:c r="O999" s="13" t="str">
        <x:v>Sem informação</x:v>
      </x:c>
      <x:c r="P999" s="26"/>
      <x:c r="Q999" s="13" t="str"/>
      <x:c r="R999" s="13" t="str"/>
      <x:c r="S999" s="13" t="str"/>
      <x:c r="T999" s="13" t="str"/>
    </x:row>
    <x:row r="1000">
      <x:c r="A1000" s="13" t="str">
        <x:v>Luiz Júnior</x:v>
      </x:c>
      <x:c r="B1000" s="13" t="n">
        <x:v>2030</x:v>
      </x:c>
      <x:c r="C1000" s="13" t="str">
        <x:v>T3</x:v>
      </x:c>
      <x:c r="D1000" s="24" t="n">
        <x:v>47756</x:v>
      </x:c>
      <x:c r="E1000" s="13" t="str">
        <x:v>Goleiro</x:v>
      </x:c>
      <x:c r="F1000" s="13" t="str">
        <x:v>FC Villarreal</x:v>
      </x:c>
      <x:c r="G1000" s="16"/>
      <x:c r="H1000" s="16"/>
      <x:c r="I1000" s="16"/>
      <x:c r="J1000" s="16"/>
      <x:c r="K1000" s="16" t="str">
        <x:f>IF(COUNT(G1000,I1000)=0,"",AVERAGE(G1000,I1000))</x:f>
      </x:c>
      <x:c r="L1000" s="16" t="str">
        <x:f>IF(COUNT(H1000,J1000)=0,"",AVERAGE(H1000,J1000))</x:f>
      </x:c>
      <x:c r="M1000" s="16" t="str">
        <x:f>IF(OR(K1000="",L1000=""),"",L1000-K1000)</x:f>
      </x:c>
      <x:c r="N1000" s="16" t="str">
        <x:f>IF(AND(A1000=A999,ISNUMBER(K1000),ISNUMBER(K999)),K1000-K999,"")</x:f>
      </x:c>
      <x:c r="O1000" s="13" t="str">
        <x:v>Sem informação</x:v>
      </x:c>
      <x:c r="P1000" s="26"/>
      <x:c r="Q1000" s="13" t="str"/>
      <x:c r="R1000" s="13" t="str"/>
      <x:c r="S1000" s="13" t="str"/>
      <x:c r="T1000" s="13" t="str"/>
    </x:row>
    <x:row r="1001">
      <x:c r="A1001" s="13" t="str">
        <x:v>Luiz Júnior</x:v>
      </x:c>
      <x:c r="B1001" s="13" t="n">
        <x:v>2030</x:v>
      </x:c>
      <x:c r="C1001" s="13" t="str">
        <x:v>T4</x:v>
      </x:c>
      <x:c r="D1001" s="24" t="n">
        <x:v>47848</x:v>
      </x:c>
      <x:c r="E1001" s="13" t="str">
        <x:v>Goleiro</x:v>
      </x:c>
      <x:c r="F1001" s="13" t="str">
        <x:v>FC Villarreal</x:v>
      </x:c>
      <x:c r="G1001" s="16"/>
      <x:c r="H1001" s="16"/>
      <x:c r="I1001" s="16"/>
      <x:c r="J1001" s="16"/>
      <x:c r="K1001" s="16" t="str">
        <x:f>IF(COUNT(G1001,I1001)=0,"",AVERAGE(G1001,I1001))</x:f>
      </x:c>
      <x:c r="L1001" s="16" t="str">
        <x:f>IF(COUNT(H1001,J1001)=0,"",AVERAGE(H1001,J1001))</x:f>
      </x:c>
      <x:c r="M1001" s="16" t="str">
        <x:f>IF(OR(K1001="",L1001=""),"",L1001-K1001)</x:f>
      </x:c>
      <x:c r="N1001" s="16" t="str">
        <x:f>IF(AND(A1001=A1000,ISNUMBER(K1001),ISNUMBER(K1000)),K1001-K1000,"")</x:f>
      </x:c>
      <x:c r="O1001" s="13" t="str">
        <x:v>Sem informação</x:v>
      </x:c>
      <x:c r="P1001" s="26"/>
      <x:c r="Q1001" s="13" t="str"/>
      <x:c r="R1001" s="13" t="str"/>
      <x:c r="S1001" s="13" t="str"/>
      <x:c r="T1001" s="13" t="str"/>
    </x:row>
    <x:row r="1002">
      <x:c r="A1002" s="13" t="str">
        <x:v>Matheus Martinelli</x:v>
      </x:c>
      <x:c r="B1002" s="13" t="n">
        <x:v>2026</x:v>
      </x:c>
      <x:c r="C1002" s="13" t="str">
        <x:v>T1</x:v>
      </x:c>
      <x:c r="D1002" s="24" t="n">
        <x:v>46112</x:v>
      </x:c>
      <x:c r="E1002" s="13" t="str">
        <x:v>Volante</x:v>
      </x:c>
      <x:c r="F1002" s="13" t="str">
        <x:v>Fluminense FC</x:v>
      </x:c>
      <x:c r="G1002" s="16"/>
      <x:c r="H1002" s="16"/>
      <x:c r="I1002" s="16"/>
      <x:c r="J1002" s="16"/>
      <x:c r="K1002" s="16" t="str">
        <x:f>IF(COUNT(G1002,I1002)=0,"",AVERAGE(G1002,I1002))</x:f>
      </x:c>
      <x:c r="L1002" s="16" t="str">
        <x:f>IF(COUNT(H1002,J1002)=0,"",AVERAGE(H1002,J1002))</x:f>
      </x:c>
      <x:c r="M1002" s="16" t="str">
        <x:f>IF(OR(K1002="",L1002=""),"",L1002-K1002)</x:f>
      </x:c>
      <x:c r="N1002" s="16" t="str">
        <x:f>""</x:f>
      </x:c>
      <x:c r="O1002" s="13" t="str">
        <x:v>Sem informação</x:v>
      </x:c>
      <x:c r="P1002" s="26"/>
      <x:c r="Q1002" s="13" t="str"/>
      <x:c r="R1002" s="13" t="str"/>
      <x:c r="S1002" s="13" t="str"/>
      <x:c r="T1002" s="13" t="str"/>
    </x:row>
    <x:row r="1003">
      <x:c r="A1003" s="13" t="str">
        <x:v>Matheus Martinelli</x:v>
      </x:c>
      <x:c r="B1003" s="13" t="n">
        <x:v>2026</x:v>
      </x:c>
      <x:c r="C1003" s="13" t="str">
        <x:v>T2</x:v>
      </x:c>
      <x:c r="D1003" s="24" t="n">
        <x:v>46203</x:v>
      </x:c>
      <x:c r="E1003" s="13" t="str">
        <x:v>Volante</x:v>
      </x:c>
      <x:c r="F1003" s="13" t="str">
        <x:v>Fluminense FC</x:v>
      </x:c>
      <x:c r="G1003" s="16"/>
      <x:c r="H1003" s="16"/>
      <x:c r="I1003" s="16"/>
      <x:c r="J1003" s="16"/>
      <x:c r="K1003" s="16" t="str">
        <x:f>IF(COUNT(G1003,I1003)=0,"",AVERAGE(G1003,I1003))</x:f>
      </x:c>
      <x:c r="L1003" s="16" t="str">
        <x:f>IF(COUNT(H1003,J1003)=0,"",AVERAGE(H1003,J1003))</x:f>
      </x:c>
      <x:c r="M1003" s="16" t="str">
        <x:f>IF(OR(K1003="",L1003=""),"",L1003-K1003)</x:f>
      </x:c>
      <x:c r="N1003" s="16" t="str">
        <x:f>IF(AND(A1003=A1002,ISNUMBER(K1003),ISNUMBER(K1002)),K1003-K1002,"")</x:f>
      </x:c>
      <x:c r="O1003" s="13" t="str">
        <x:v>Sem informação</x:v>
      </x:c>
      <x:c r="P1003" s="26"/>
      <x:c r="Q1003" s="13" t="str"/>
      <x:c r="R1003" s="13" t="str"/>
      <x:c r="S1003" s="13" t="str"/>
      <x:c r="T1003" s="13" t="str"/>
    </x:row>
    <x:row r="1004">
      <x:c r="A1004" s="13" t="str">
        <x:v>Matheus Martinelli</x:v>
      </x:c>
      <x:c r="B1004" s="13" t="n">
        <x:v>2026</x:v>
      </x:c>
      <x:c r="C1004" s="13" t="str">
        <x:v>T3</x:v>
      </x:c>
      <x:c r="D1004" s="24" t="n">
        <x:v>46295</x:v>
      </x:c>
      <x:c r="E1004" s="13" t="str">
        <x:v>Volante</x:v>
      </x:c>
      <x:c r="F1004" s="13" t="str">
        <x:v>Fluminense FC</x:v>
      </x:c>
      <x:c r="G1004" s="16"/>
      <x:c r="H1004" s="16"/>
      <x:c r="I1004" s="16"/>
      <x:c r="J1004" s="16"/>
      <x:c r="K1004" s="16" t="str">
        <x:f>IF(COUNT(G1004,I1004)=0,"",AVERAGE(G1004,I1004))</x:f>
      </x:c>
      <x:c r="L1004" s="16" t="str">
        <x:f>IF(COUNT(H1004,J1004)=0,"",AVERAGE(H1004,J1004))</x:f>
      </x:c>
      <x:c r="M1004" s="16" t="str">
        <x:f>IF(OR(K1004="",L1004=""),"",L1004-K1004)</x:f>
      </x:c>
      <x:c r="N1004" s="16" t="str">
        <x:f>IF(AND(A1004=A1003,ISNUMBER(K1004),ISNUMBER(K1003)),K1004-K1003,"")</x:f>
      </x:c>
      <x:c r="O1004" s="13" t="str">
        <x:v>Sem informação</x:v>
      </x:c>
      <x:c r="P1004" s="26"/>
      <x:c r="Q1004" s="13" t="str"/>
      <x:c r="R1004" s="13" t="str"/>
      <x:c r="S1004" s="13" t="str"/>
      <x:c r="T1004" s="13" t="str"/>
    </x:row>
    <x:row r="1005">
      <x:c r="A1005" s="13" t="str">
        <x:v>Matheus Martinelli</x:v>
      </x:c>
      <x:c r="B1005" s="13" t="n">
        <x:v>2026</x:v>
      </x:c>
      <x:c r="C1005" s="13" t="str">
        <x:v>T4</x:v>
      </x:c>
      <x:c r="D1005" s="24" t="n">
        <x:v>46387</x:v>
      </x:c>
      <x:c r="E1005" s="13" t="str">
        <x:v>Volante</x:v>
      </x:c>
      <x:c r="F1005" s="13" t="str">
        <x:v>Fluminense FC</x:v>
      </x:c>
      <x:c r="G1005" s="16"/>
      <x:c r="H1005" s="16"/>
      <x:c r="I1005" s="16"/>
      <x:c r="J1005" s="16"/>
      <x:c r="K1005" s="16" t="str">
        <x:f>IF(COUNT(G1005,I1005)=0,"",AVERAGE(G1005,I1005))</x:f>
      </x:c>
      <x:c r="L1005" s="16" t="str">
        <x:f>IF(COUNT(H1005,J1005)=0,"",AVERAGE(H1005,J1005))</x:f>
      </x:c>
      <x:c r="M1005" s="16" t="str">
        <x:f>IF(OR(K1005="",L1005=""),"",L1005-K1005)</x:f>
      </x:c>
      <x:c r="N1005" s="16" t="str">
        <x:f>IF(AND(A1005=A1004,ISNUMBER(K1005),ISNUMBER(K1004)),K1005-K1004,"")</x:f>
      </x:c>
      <x:c r="O1005" s="13" t="str">
        <x:v>Sem informação</x:v>
      </x:c>
      <x:c r="P1005" s="26"/>
      <x:c r="Q1005" s="13" t="str"/>
      <x:c r="R1005" s="13" t="str"/>
      <x:c r="S1005" s="13" t="str"/>
      <x:c r="T1005" s="13" t="str"/>
    </x:row>
    <x:row r="1006">
      <x:c r="A1006" s="13" t="str">
        <x:v>Matheus Martinelli</x:v>
      </x:c>
      <x:c r="B1006" s="13" t="n">
        <x:v>2027</x:v>
      </x:c>
      <x:c r="C1006" s="13" t="str">
        <x:v>T1</x:v>
      </x:c>
      <x:c r="D1006" s="24" t="n">
        <x:v>46477</x:v>
      </x:c>
      <x:c r="E1006" s="13" t="str">
        <x:v>Volante</x:v>
      </x:c>
      <x:c r="F1006" s="13" t="str">
        <x:v>Fluminense FC</x:v>
      </x:c>
      <x:c r="G1006" s="16"/>
      <x:c r="H1006" s="16"/>
      <x:c r="I1006" s="16"/>
      <x:c r="J1006" s="16"/>
      <x:c r="K1006" s="16" t="str">
        <x:f>IF(COUNT(G1006,I1006)=0,"",AVERAGE(G1006,I1006))</x:f>
      </x:c>
      <x:c r="L1006" s="16" t="str">
        <x:f>IF(COUNT(H1006,J1006)=0,"",AVERAGE(H1006,J1006))</x:f>
      </x:c>
      <x:c r="M1006" s="16" t="str">
        <x:f>IF(OR(K1006="",L1006=""),"",L1006-K1006)</x:f>
      </x:c>
      <x:c r="N1006" s="16" t="str">
        <x:f>IF(AND(A1006=A1005,ISNUMBER(K1006),ISNUMBER(K1005)),K1006-K1005,"")</x:f>
      </x:c>
      <x:c r="O1006" s="13" t="str">
        <x:v>Sem informação</x:v>
      </x:c>
      <x:c r="P1006" s="26"/>
      <x:c r="Q1006" s="13" t="str"/>
      <x:c r="R1006" s="13" t="str"/>
      <x:c r="S1006" s="13" t="str"/>
      <x:c r="T1006" s="13" t="str"/>
    </x:row>
    <x:row r="1007">
      <x:c r="A1007" s="13" t="str">
        <x:v>Matheus Martinelli</x:v>
      </x:c>
      <x:c r="B1007" s="13" t="n">
        <x:v>2027</x:v>
      </x:c>
      <x:c r="C1007" s="13" t="str">
        <x:v>T2</x:v>
      </x:c>
      <x:c r="D1007" s="24" t="n">
        <x:v>46568</x:v>
      </x:c>
      <x:c r="E1007" s="13" t="str">
        <x:v>Volante</x:v>
      </x:c>
      <x:c r="F1007" s="13" t="str">
        <x:v>Fluminense FC</x:v>
      </x:c>
      <x:c r="G1007" s="16"/>
      <x:c r="H1007" s="16"/>
      <x:c r="I1007" s="16"/>
      <x:c r="J1007" s="16"/>
      <x:c r="K1007" s="16" t="str">
        <x:f>IF(COUNT(G1007,I1007)=0,"",AVERAGE(G1007,I1007))</x:f>
      </x:c>
      <x:c r="L1007" s="16" t="str">
        <x:f>IF(COUNT(H1007,J1007)=0,"",AVERAGE(H1007,J1007))</x:f>
      </x:c>
      <x:c r="M1007" s="16" t="str">
        <x:f>IF(OR(K1007="",L1007=""),"",L1007-K1007)</x:f>
      </x:c>
      <x:c r="N1007" s="16" t="str">
        <x:f>IF(AND(A1007=A1006,ISNUMBER(K1007),ISNUMBER(K1006)),K1007-K1006,"")</x:f>
      </x:c>
      <x:c r="O1007" s="13" t="str">
        <x:v>Sem informação</x:v>
      </x:c>
      <x:c r="P1007" s="26"/>
      <x:c r="Q1007" s="13" t="str"/>
      <x:c r="R1007" s="13" t="str"/>
      <x:c r="S1007" s="13" t="str"/>
      <x:c r="T1007" s="13" t="str"/>
    </x:row>
    <x:row r="1008">
      <x:c r="A1008" s="13" t="str">
        <x:v>Matheus Martinelli</x:v>
      </x:c>
      <x:c r="B1008" s="13" t="n">
        <x:v>2027</x:v>
      </x:c>
      <x:c r="C1008" s="13" t="str">
        <x:v>T3</x:v>
      </x:c>
      <x:c r="D1008" s="24" t="n">
        <x:v>46660</x:v>
      </x:c>
      <x:c r="E1008" s="13" t="str">
        <x:v>Volante</x:v>
      </x:c>
      <x:c r="F1008" s="13" t="str">
        <x:v>Fluminense FC</x:v>
      </x:c>
      <x:c r="G1008" s="16"/>
      <x:c r="H1008" s="16"/>
      <x:c r="I1008" s="16"/>
      <x:c r="J1008" s="16"/>
      <x:c r="K1008" s="16" t="str">
        <x:f>IF(COUNT(G1008,I1008)=0,"",AVERAGE(G1008,I1008))</x:f>
      </x:c>
      <x:c r="L1008" s="16" t="str">
        <x:f>IF(COUNT(H1008,J1008)=0,"",AVERAGE(H1008,J1008))</x:f>
      </x:c>
      <x:c r="M1008" s="16" t="str">
        <x:f>IF(OR(K1008="",L1008=""),"",L1008-K1008)</x:f>
      </x:c>
      <x:c r="N1008" s="16" t="str">
        <x:f>IF(AND(A1008=A1007,ISNUMBER(K1008),ISNUMBER(K1007)),K1008-K1007,"")</x:f>
      </x:c>
      <x:c r="O1008" s="13" t="str">
        <x:v>Sem informação</x:v>
      </x:c>
      <x:c r="P1008" s="26"/>
      <x:c r="Q1008" s="13" t="str"/>
      <x:c r="R1008" s="13" t="str"/>
      <x:c r="S1008" s="13" t="str"/>
      <x:c r="T1008" s="13" t="str"/>
    </x:row>
    <x:row r="1009">
      <x:c r="A1009" s="13" t="str">
        <x:v>Matheus Martinelli</x:v>
      </x:c>
      <x:c r="B1009" s="13" t="n">
        <x:v>2027</x:v>
      </x:c>
      <x:c r="C1009" s="13" t="str">
        <x:v>T4</x:v>
      </x:c>
      <x:c r="D1009" s="24" t="n">
        <x:v>46752</x:v>
      </x:c>
      <x:c r="E1009" s="13" t="str">
        <x:v>Volante</x:v>
      </x:c>
      <x:c r="F1009" s="13" t="str">
        <x:v>Fluminense FC</x:v>
      </x:c>
      <x:c r="G1009" s="16"/>
      <x:c r="H1009" s="16"/>
      <x:c r="I1009" s="16"/>
      <x:c r="J1009" s="16"/>
      <x:c r="K1009" s="16" t="str">
        <x:f>IF(COUNT(G1009,I1009)=0,"",AVERAGE(G1009,I1009))</x:f>
      </x:c>
      <x:c r="L1009" s="16" t="str">
        <x:f>IF(COUNT(H1009,J1009)=0,"",AVERAGE(H1009,J1009))</x:f>
      </x:c>
      <x:c r="M1009" s="16" t="str">
        <x:f>IF(OR(K1009="",L1009=""),"",L1009-K1009)</x:f>
      </x:c>
      <x:c r="N1009" s="16" t="str">
        <x:f>IF(AND(A1009=A1008,ISNUMBER(K1009),ISNUMBER(K1008)),K1009-K1008,"")</x:f>
      </x:c>
      <x:c r="O1009" s="13" t="str">
        <x:v>Sem informação</x:v>
      </x:c>
      <x:c r="P1009" s="26"/>
      <x:c r="Q1009" s="13" t="str"/>
      <x:c r="R1009" s="13" t="str"/>
      <x:c r="S1009" s="13" t="str"/>
      <x:c r="T1009" s="13" t="str"/>
    </x:row>
    <x:row r="1010">
      <x:c r="A1010" s="13" t="str">
        <x:v>Matheus Martinelli</x:v>
      </x:c>
      <x:c r="B1010" s="13" t="n">
        <x:v>2028</x:v>
      </x:c>
      <x:c r="C1010" s="13" t="str">
        <x:v>T1</x:v>
      </x:c>
      <x:c r="D1010" s="24" t="n">
        <x:v>46843</x:v>
      </x:c>
      <x:c r="E1010" s="13" t="str">
        <x:v>Volante</x:v>
      </x:c>
      <x:c r="F1010" s="13" t="str">
        <x:v>Fluminense FC</x:v>
      </x:c>
      <x:c r="G1010" s="16"/>
      <x:c r="H1010" s="16"/>
      <x:c r="I1010" s="16"/>
      <x:c r="J1010" s="16"/>
      <x:c r="K1010" s="16" t="str">
        <x:f>IF(COUNT(G1010,I1010)=0,"",AVERAGE(G1010,I1010))</x:f>
      </x:c>
      <x:c r="L1010" s="16" t="str">
        <x:f>IF(COUNT(H1010,J1010)=0,"",AVERAGE(H1010,J1010))</x:f>
      </x:c>
      <x:c r="M1010" s="16" t="str">
        <x:f>IF(OR(K1010="",L1010=""),"",L1010-K1010)</x:f>
      </x:c>
      <x:c r="N1010" s="16" t="str">
        <x:f>IF(AND(A1010=A1009,ISNUMBER(K1010),ISNUMBER(K1009)),K1010-K1009,"")</x:f>
      </x:c>
      <x:c r="O1010" s="13" t="str">
        <x:v>Sem informação</x:v>
      </x:c>
      <x:c r="P1010" s="26"/>
      <x:c r="Q1010" s="13" t="str"/>
      <x:c r="R1010" s="13" t="str"/>
      <x:c r="S1010" s="13" t="str"/>
      <x:c r="T1010" s="13" t="str"/>
    </x:row>
    <x:row r="1011">
      <x:c r="A1011" s="13" t="str">
        <x:v>Matheus Martinelli</x:v>
      </x:c>
      <x:c r="B1011" s="13" t="n">
        <x:v>2028</x:v>
      </x:c>
      <x:c r="C1011" s="13" t="str">
        <x:v>T2</x:v>
      </x:c>
      <x:c r="D1011" s="24" t="n">
        <x:v>46934</x:v>
      </x:c>
      <x:c r="E1011" s="13" t="str">
        <x:v>Volante</x:v>
      </x:c>
      <x:c r="F1011" s="13" t="str">
        <x:v>Fluminense FC</x:v>
      </x:c>
      <x:c r="G1011" s="16"/>
      <x:c r="H1011" s="16"/>
      <x:c r="I1011" s="16"/>
      <x:c r="J1011" s="16"/>
      <x:c r="K1011" s="16" t="str">
        <x:f>IF(COUNT(G1011,I1011)=0,"",AVERAGE(G1011,I1011))</x:f>
      </x:c>
      <x:c r="L1011" s="16" t="str">
        <x:f>IF(COUNT(H1011,J1011)=0,"",AVERAGE(H1011,J1011))</x:f>
      </x:c>
      <x:c r="M1011" s="16" t="str">
        <x:f>IF(OR(K1011="",L1011=""),"",L1011-K1011)</x:f>
      </x:c>
      <x:c r="N1011" s="16" t="str">
        <x:f>IF(AND(A1011=A1010,ISNUMBER(K1011),ISNUMBER(K1010)),K1011-K1010,"")</x:f>
      </x:c>
      <x:c r="O1011" s="13" t="str">
        <x:v>Sem informação</x:v>
      </x:c>
      <x:c r="P1011" s="26"/>
      <x:c r="Q1011" s="13" t="str"/>
      <x:c r="R1011" s="13" t="str"/>
      <x:c r="S1011" s="13" t="str"/>
      <x:c r="T1011" s="13" t="str"/>
    </x:row>
    <x:row r="1012">
      <x:c r="A1012" s="13" t="str">
        <x:v>Matheus Martinelli</x:v>
      </x:c>
      <x:c r="B1012" s="13" t="n">
        <x:v>2028</x:v>
      </x:c>
      <x:c r="C1012" s="13" t="str">
        <x:v>T3</x:v>
      </x:c>
      <x:c r="D1012" s="24" t="n">
        <x:v>47026</x:v>
      </x:c>
      <x:c r="E1012" s="13" t="str">
        <x:v>Volante</x:v>
      </x:c>
      <x:c r="F1012" s="13" t="str">
        <x:v>Fluminense FC</x:v>
      </x:c>
      <x:c r="G1012" s="16"/>
      <x:c r="H1012" s="16"/>
      <x:c r="I1012" s="16"/>
      <x:c r="J1012" s="16"/>
      <x:c r="K1012" s="16" t="str">
        <x:f>IF(COUNT(G1012,I1012)=0,"",AVERAGE(G1012,I1012))</x:f>
      </x:c>
      <x:c r="L1012" s="16" t="str">
        <x:f>IF(COUNT(H1012,J1012)=0,"",AVERAGE(H1012,J1012))</x:f>
      </x:c>
      <x:c r="M1012" s="16" t="str">
        <x:f>IF(OR(K1012="",L1012=""),"",L1012-K1012)</x:f>
      </x:c>
      <x:c r="N1012" s="16" t="str">
        <x:f>IF(AND(A1012=A1011,ISNUMBER(K1012),ISNUMBER(K1011)),K1012-K1011,"")</x:f>
      </x:c>
      <x:c r="O1012" s="13" t="str">
        <x:v>Sem informação</x:v>
      </x:c>
      <x:c r="P1012" s="26"/>
      <x:c r="Q1012" s="13" t="str"/>
      <x:c r="R1012" s="13" t="str"/>
      <x:c r="S1012" s="13" t="str"/>
      <x:c r="T1012" s="13" t="str"/>
    </x:row>
    <x:row r="1013">
      <x:c r="A1013" s="13" t="str">
        <x:v>Matheus Martinelli</x:v>
      </x:c>
      <x:c r="B1013" s="13" t="n">
        <x:v>2028</x:v>
      </x:c>
      <x:c r="C1013" s="13" t="str">
        <x:v>T4</x:v>
      </x:c>
      <x:c r="D1013" s="24" t="n">
        <x:v>47118</x:v>
      </x:c>
      <x:c r="E1013" s="13" t="str">
        <x:v>Volante</x:v>
      </x:c>
      <x:c r="F1013" s="13" t="str">
        <x:v>Fluminense FC</x:v>
      </x:c>
      <x:c r="G1013" s="16"/>
      <x:c r="H1013" s="16"/>
      <x:c r="I1013" s="16"/>
      <x:c r="J1013" s="16"/>
      <x:c r="K1013" s="16" t="str">
        <x:f>IF(COUNT(G1013,I1013)=0,"",AVERAGE(G1013,I1013))</x:f>
      </x:c>
      <x:c r="L1013" s="16" t="str">
        <x:f>IF(COUNT(H1013,J1013)=0,"",AVERAGE(H1013,J1013))</x:f>
      </x:c>
      <x:c r="M1013" s="16" t="str">
        <x:f>IF(OR(K1013="",L1013=""),"",L1013-K1013)</x:f>
      </x:c>
      <x:c r="N1013" s="16" t="str">
        <x:f>IF(AND(A1013=A1012,ISNUMBER(K1013),ISNUMBER(K1012)),K1013-K1012,"")</x:f>
      </x:c>
      <x:c r="O1013" s="13" t="str">
        <x:v>Sem informação</x:v>
      </x:c>
      <x:c r="P1013" s="26"/>
      <x:c r="Q1013" s="13" t="str"/>
      <x:c r="R1013" s="13" t="str"/>
      <x:c r="S1013" s="13" t="str"/>
      <x:c r="T1013" s="13" t="str"/>
    </x:row>
    <x:row r="1014">
      <x:c r="A1014" s="13" t="str">
        <x:v>Matheus Martinelli</x:v>
      </x:c>
      <x:c r="B1014" s="13" t="n">
        <x:v>2029</x:v>
      </x:c>
      <x:c r="C1014" s="13" t="str">
        <x:v>T1</x:v>
      </x:c>
      <x:c r="D1014" s="24" t="n">
        <x:v>47208</x:v>
      </x:c>
      <x:c r="E1014" s="13" t="str">
        <x:v>Volante</x:v>
      </x:c>
      <x:c r="F1014" s="13" t="str">
        <x:v>Fluminense FC</x:v>
      </x:c>
      <x:c r="G1014" s="16"/>
      <x:c r="H1014" s="16"/>
      <x:c r="I1014" s="16"/>
      <x:c r="J1014" s="16"/>
      <x:c r="K1014" s="16" t="str">
        <x:f>IF(COUNT(G1014,I1014)=0,"",AVERAGE(G1014,I1014))</x:f>
      </x:c>
      <x:c r="L1014" s="16" t="str">
        <x:f>IF(COUNT(H1014,J1014)=0,"",AVERAGE(H1014,J1014))</x:f>
      </x:c>
      <x:c r="M1014" s="16" t="str">
        <x:f>IF(OR(K1014="",L1014=""),"",L1014-K1014)</x:f>
      </x:c>
      <x:c r="N1014" s="16" t="str">
        <x:f>IF(AND(A1014=A1013,ISNUMBER(K1014),ISNUMBER(K1013)),K1014-K1013,"")</x:f>
      </x:c>
      <x:c r="O1014" s="13" t="str">
        <x:v>Sem informação</x:v>
      </x:c>
      <x:c r="P1014" s="26"/>
      <x:c r="Q1014" s="13" t="str"/>
      <x:c r="R1014" s="13" t="str"/>
      <x:c r="S1014" s="13" t="str"/>
      <x:c r="T1014" s="13" t="str"/>
    </x:row>
    <x:row r="1015">
      <x:c r="A1015" s="13" t="str">
        <x:v>Matheus Martinelli</x:v>
      </x:c>
      <x:c r="B1015" s="13" t="n">
        <x:v>2029</x:v>
      </x:c>
      <x:c r="C1015" s="13" t="str">
        <x:v>T2</x:v>
      </x:c>
      <x:c r="D1015" s="24" t="n">
        <x:v>47299</x:v>
      </x:c>
      <x:c r="E1015" s="13" t="str">
        <x:v>Volante</x:v>
      </x:c>
      <x:c r="F1015" s="13" t="str">
        <x:v>Fluminense FC</x:v>
      </x:c>
      <x:c r="G1015" s="16"/>
      <x:c r="H1015" s="16"/>
      <x:c r="I1015" s="16"/>
      <x:c r="J1015" s="16"/>
      <x:c r="K1015" s="16" t="str">
        <x:f>IF(COUNT(G1015,I1015)=0,"",AVERAGE(G1015,I1015))</x:f>
      </x:c>
      <x:c r="L1015" s="16" t="str">
        <x:f>IF(COUNT(H1015,J1015)=0,"",AVERAGE(H1015,J1015))</x:f>
      </x:c>
      <x:c r="M1015" s="16" t="str">
        <x:f>IF(OR(K1015="",L1015=""),"",L1015-K1015)</x:f>
      </x:c>
      <x:c r="N1015" s="16" t="str">
        <x:f>IF(AND(A1015=A1014,ISNUMBER(K1015),ISNUMBER(K1014)),K1015-K1014,"")</x:f>
      </x:c>
      <x:c r="O1015" s="13" t="str">
        <x:v>Sem informação</x:v>
      </x:c>
      <x:c r="P1015" s="26"/>
      <x:c r="Q1015" s="13" t="str"/>
      <x:c r="R1015" s="13" t="str"/>
      <x:c r="S1015" s="13" t="str"/>
      <x:c r="T1015" s="13" t="str"/>
    </x:row>
    <x:row r="1016">
      <x:c r="A1016" s="13" t="str">
        <x:v>Matheus Martinelli</x:v>
      </x:c>
      <x:c r="B1016" s="13" t="n">
        <x:v>2029</x:v>
      </x:c>
      <x:c r="C1016" s="13" t="str">
        <x:v>T3</x:v>
      </x:c>
      <x:c r="D1016" s="24" t="n">
        <x:v>47391</x:v>
      </x:c>
      <x:c r="E1016" s="13" t="str">
        <x:v>Volante</x:v>
      </x:c>
      <x:c r="F1016" s="13" t="str">
        <x:v>Fluminense FC</x:v>
      </x:c>
      <x:c r="G1016" s="16"/>
      <x:c r="H1016" s="16"/>
      <x:c r="I1016" s="16"/>
      <x:c r="J1016" s="16"/>
      <x:c r="K1016" s="16" t="str">
        <x:f>IF(COUNT(G1016,I1016)=0,"",AVERAGE(G1016,I1016))</x:f>
      </x:c>
      <x:c r="L1016" s="16" t="str">
        <x:f>IF(COUNT(H1016,J1016)=0,"",AVERAGE(H1016,J1016))</x:f>
      </x:c>
      <x:c r="M1016" s="16" t="str">
        <x:f>IF(OR(K1016="",L1016=""),"",L1016-K1016)</x:f>
      </x:c>
      <x:c r="N1016" s="16" t="str">
        <x:f>IF(AND(A1016=A1015,ISNUMBER(K1016),ISNUMBER(K1015)),K1016-K1015,"")</x:f>
      </x:c>
      <x:c r="O1016" s="13" t="str">
        <x:v>Sem informação</x:v>
      </x:c>
      <x:c r="P1016" s="26"/>
      <x:c r="Q1016" s="13" t="str"/>
      <x:c r="R1016" s="13" t="str"/>
      <x:c r="S1016" s="13" t="str"/>
      <x:c r="T1016" s="13" t="str"/>
    </x:row>
    <x:row r="1017">
      <x:c r="A1017" s="13" t="str">
        <x:v>Matheus Martinelli</x:v>
      </x:c>
      <x:c r="B1017" s="13" t="n">
        <x:v>2029</x:v>
      </x:c>
      <x:c r="C1017" s="13" t="str">
        <x:v>T4</x:v>
      </x:c>
      <x:c r="D1017" s="24" t="n">
        <x:v>47483</x:v>
      </x:c>
      <x:c r="E1017" s="13" t="str">
        <x:v>Volante</x:v>
      </x:c>
      <x:c r="F1017" s="13" t="str">
        <x:v>Fluminense FC</x:v>
      </x:c>
      <x:c r="G1017" s="16"/>
      <x:c r="H1017" s="16"/>
      <x:c r="I1017" s="16"/>
      <x:c r="J1017" s="16"/>
      <x:c r="K1017" s="16" t="str">
        <x:f>IF(COUNT(G1017,I1017)=0,"",AVERAGE(G1017,I1017))</x:f>
      </x:c>
      <x:c r="L1017" s="16" t="str">
        <x:f>IF(COUNT(H1017,J1017)=0,"",AVERAGE(H1017,J1017))</x:f>
      </x:c>
      <x:c r="M1017" s="16" t="str">
        <x:f>IF(OR(K1017="",L1017=""),"",L1017-K1017)</x:f>
      </x:c>
      <x:c r="N1017" s="16" t="str">
        <x:f>IF(AND(A1017=A1016,ISNUMBER(K1017),ISNUMBER(K1016)),K1017-K1016,"")</x:f>
      </x:c>
      <x:c r="O1017" s="13" t="str">
        <x:v>Sem informação</x:v>
      </x:c>
      <x:c r="P1017" s="26"/>
      <x:c r="Q1017" s="13" t="str"/>
      <x:c r="R1017" s="13" t="str"/>
      <x:c r="S1017" s="13" t="str"/>
      <x:c r="T1017" s="13" t="str"/>
    </x:row>
    <x:row r="1018">
      <x:c r="A1018" s="13" t="str">
        <x:v>Matheus Martinelli</x:v>
      </x:c>
      <x:c r="B1018" s="13" t="n">
        <x:v>2030</x:v>
      </x:c>
      <x:c r="C1018" s="13" t="str">
        <x:v>T1</x:v>
      </x:c>
      <x:c r="D1018" s="24" t="n">
        <x:v>47573</x:v>
      </x:c>
      <x:c r="E1018" s="13" t="str">
        <x:v>Volante</x:v>
      </x:c>
      <x:c r="F1018" s="13" t="str">
        <x:v>Fluminense FC</x:v>
      </x:c>
      <x:c r="G1018" s="16"/>
      <x:c r="H1018" s="16"/>
      <x:c r="I1018" s="16"/>
      <x:c r="J1018" s="16"/>
      <x:c r="K1018" s="16" t="str">
        <x:f>IF(COUNT(G1018,I1018)=0,"",AVERAGE(G1018,I1018))</x:f>
      </x:c>
      <x:c r="L1018" s="16" t="str">
        <x:f>IF(COUNT(H1018,J1018)=0,"",AVERAGE(H1018,J1018))</x:f>
      </x:c>
      <x:c r="M1018" s="16" t="str">
        <x:f>IF(OR(K1018="",L1018=""),"",L1018-K1018)</x:f>
      </x:c>
      <x:c r="N1018" s="16" t="str">
        <x:f>IF(AND(A1018=A1017,ISNUMBER(K1018),ISNUMBER(K1017)),K1018-K1017,"")</x:f>
      </x:c>
      <x:c r="O1018" s="13" t="str">
        <x:v>Sem informação</x:v>
      </x:c>
      <x:c r="P1018" s="26"/>
      <x:c r="Q1018" s="13" t="str"/>
      <x:c r="R1018" s="13" t="str"/>
      <x:c r="S1018" s="13" t="str"/>
      <x:c r="T1018" s="13" t="str"/>
    </x:row>
    <x:row r="1019">
      <x:c r="A1019" s="13" t="str">
        <x:v>Matheus Martinelli</x:v>
      </x:c>
      <x:c r="B1019" s="13" t="n">
        <x:v>2030</x:v>
      </x:c>
      <x:c r="C1019" s="13" t="str">
        <x:v>T2</x:v>
      </x:c>
      <x:c r="D1019" s="24" t="n">
        <x:v>47664</x:v>
      </x:c>
      <x:c r="E1019" s="13" t="str">
        <x:v>Volante</x:v>
      </x:c>
      <x:c r="F1019" s="13" t="str">
        <x:v>Fluminense FC</x:v>
      </x:c>
      <x:c r="G1019" s="16"/>
      <x:c r="H1019" s="16"/>
      <x:c r="I1019" s="16"/>
      <x:c r="J1019" s="16"/>
      <x:c r="K1019" s="16" t="str">
        <x:f>IF(COUNT(G1019,I1019)=0,"",AVERAGE(G1019,I1019))</x:f>
      </x:c>
      <x:c r="L1019" s="16" t="str">
        <x:f>IF(COUNT(H1019,J1019)=0,"",AVERAGE(H1019,J1019))</x:f>
      </x:c>
      <x:c r="M1019" s="16" t="str">
        <x:f>IF(OR(K1019="",L1019=""),"",L1019-K1019)</x:f>
      </x:c>
      <x:c r="N1019" s="16" t="str">
        <x:f>IF(AND(A1019=A1018,ISNUMBER(K1019),ISNUMBER(K1018)),K1019-K1018,"")</x:f>
      </x:c>
      <x:c r="O1019" s="13" t="str">
        <x:v>Sem informação</x:v>
      </x:c>
      <x:c r="P1019" s="26"/>
      <x:c r="Q1019" s="13" t="str"/>
      <x:c r="R1019" s="13" t="str"/>
      <x:c r="S1019" s="13" t="str"/>
      <x:c r="T1019" s="13" t="str"/>
    </x:row>
    <x:row r="1020">
      <x:c r="A1020" s="13" t="str">
        <x:v>Matheus Martinelli</x:v>
      </x:c>
      <x:c r="B1020" s="13" t="n">
        <x:v>2030</x:v>
      </x:c>
      <x:c r="C1020" s="13" t="str">
        <x:v>T3</x:v>
      </x:c>
      <x:c r="D1020" s="24" t="n">
        <x:v>47756</x:v>
      </x:c>
      <x:c r="E1020" s="13" t="str">
        <x:v>Volante</x:v>
      </x:c>
      <x:c r="F1020" s="13" t="str">
        <x:v>Fluminense FC</x:v>
      </x:c>
      <x:c r="G1020" s="16"/>
      <x:c r="H1020" s="16"/>
      <x:c r="I1020" s="16"/>
      <x:c r="J1020" s="16"/>
      <x:c r="K1020" s="16" t="str">
        <x:f>IF(COUNT(G1020,I1020)=0,"",AVERAGE(G1020,I1020))</x:f>
      </x:c>
      <x:c r="L1020" s="16" t="str">
        <x:f>IF(COUNT(H1020,J1020)=0,"",AVERAGE(H1020,J1020))</x:f>
      </x:c>
      <x:c r="M1020" s="16" t="str">
        <x:f>IF(OR(K1020="",L1020=""),"",L1020-K1020)</x:f>
      </x:c>
      <x:c r="N1020" s="16" t="str">
        <x:f>IF(AND(A1020=A1019,ISNUMBER(K1020),ISNUMBER(K1019)),K1020-K1019,"")</x:f>
      </x:c>
      <x:c r="O1020" s="13" t="str">
        <x:v>Sem informação</x:v>
      </x:c>
      <x:c r="P1020" s="26"/>
      <x:c r="Q1020" s="13" t="str"/>
      <x:c r="R1020" s="13" t="str"/>
      <x:c r="S1020" s="13" t="str"/>
      <x:c r="T1020" s="13" t="str"/>
    </x:row>
    <x:row r="1021">
      <x:c r="A1021" s="13" t="str">
        <x:v>Matheus Martinelli</x:v>
      </x:c>
      <x:c r="B1021" s="13" t="n">
        <x:v>2030</x:v>
      </x:c>
      <x:c r="C1021" s="13" t="str">
        <x:v>T4</x:v>
      </x:c>
      <x:c r="D1021" s="24" t="n">
        <x:v>47848</x:v>
      </x:c>
      <x:c r="E1021" s="13" t="str">
        <x:v>Volante</x:v>
      </x:c>
      <x:c r="F1021" s="13" t="str">
        <x:v>Fluminense FC</x:v>
      </x:c>
      <x:c r="G1021" s="16"/>
      <x:c r="H1021" s="16"/>
      <x:c r="I1021" s="16"/>
      <x:c r="J1021" s="16"/>
      <x:c r="K1021" s="16" t="str">
        <x:f>IF(COUNT(G1021,I1021)=0,"",AVERAGE(G1021,I1021))</x:f>
      </x:c>
      <x:c r="L1021" s="16" t="str">
        <x:f>IF(COUNT(H1021,J1021)=0,"",AVERAGE(H1021,J1021))</x:f>
      </x:c>
      <x:c r="M1021" s="16" t="str">
        <x:f>IF(OR(K1021="",L1021=""),"",L1021-K1021)</x:f>
      </x:c>
      <x:c r="N1021" s="16" t="str">
        <x:f>IF(AND(A1021=A1020,ISNUMBER(K1021),ISNUMBER(K1020)),K1021-K1020,"")</x:f>
      </x:c>
      <x:c r="O1021" s="13" t="str">
        <x:v>Sem informação</x:v>
      </x:c>
      <x:c r="P1021" s="26"/>
      <x:c r="Q1021" s="13" t="str"/>
      <x:c r="R1021" s="13" t="str"/>
      <x:c r="S1021" s="13" t="str"/>
      <x:c r="T1021" s="13" t="str"/>
    </x:row>
    <x:row r="1022">
      <x:c r="A1022" s="13" t="str">
        <x:v>Otávio</x:v>
      </x:c>
      <x:c r="B1022" s="13" t="n">
        <x:v>2026</x:v>
      </x:c>
      <x:c r="C1022" s="13" t="str">
        <x:v>T1</x:v>
      </x:c>
      <x:c r="D1022" s="24" t="n">
        <x:v>46112</x:v>
      </x:c>
      <x:c r="E1022" s="13" t="str">
        <x:v>Goleiro</x:v>
      </x:c>
      <x:c r="F1022" s="13" t="str">
        <x:v>Cruzeiro EC</x:v>
      </x:c>
      <x:c r="G1022" s="16"/>
      <x:c r="H1022" s="16"/>
      <x:c r="I1022" s="16"/>
      <x:c r="J1022" s="16"/>
      <x:c r="K1022" s="16" t="str">
        <x:f>IF(COUNT(G1022,I1022)=0,"",AVERAGE(G1022,I1022))</x:f>
      </x:c>
      <x:c r="L1022" s="16" t="str">
        <x:f>IF(COUNT(H1022,J1022)=0,"",AVERAGE(H1022,J1022))</x:f>
      </x:c>
      <x:c r="M1022" s="16" t="str">
        <x:f>IF(OR(K1022="",L1022=""),"",L1022-K1022)</x:f>
      </x:c>
      <x:c r="N1022" s="16" t="str">
        <x:f>""</x:f>
      </x:c>
      <x:c r="O1022" s="13" t="str">
        <x:v>Sem informação</x:v>
      </x:c>
      <x:c r="P1022" s="26"/>
      <x:c r="Q1022" s="13" t="str"/>
      <x:c r="R1022" s="13" t="str"/>
      <x:c r="S1022" s="13" t="str"/>
      <x:c r="T1022" s="13" t="str"/>
    </x:row>
    <x:row r="1023">
      <x:c r="A1023" s="13" t="str">
        <x:v>Otávio</x:v>
      </x:c>
      <x:c r="B1023" s="13" t="n">
        <x:v>2026</x:v>
      </x:c>
      <x:c r="C1023" s="13" t="str">
        <x:v>T2</x:v>
      </x:c>
      <x:c r="D1023" s="24" t="n">
        <x:v>46203</x:v>
      </x:c>
      <x:c r="E1023" s="13" t="str">
        <x:v>Goleiro</x:v>
      </x:c>
      <x:c r="F1023" s="13" t="str">
        <x:v>Cruzeiro EC</x:v>
      </x:c>
      <x:c r="G1023" s="16"/>
      <x:c r="H1023" s="16"/>
      <x:c r="I1023" s="16"/>
      <x:c r="J1023" s="16"/>
      <x:c r="K1023" s="16" t="str">
        <x:f>IF(COUNT(G1023,I1023)=0,"",AVERAGE(G1023,I1023))</x:f>
      </x:c>
      <x:c r="L1023" s="16" t="str">
        <x:f>IF(COUNT(H1023,J1023)=0,"",AVERAGE(H1023,J1023))</x:f>
      </x:c>
      <x:c r="M1023" s="16" t="str">
        <x:f>IF(OR(K1023="",L1023=""),"",L1023-K1023)</x:f>
      </x:c>
      <x:c r="N1023" s="16" t="str">
        <x:f>IF(AND(A1023=A1022,ISNUMBER(K1023),ISNUMBER(K1022)),K1023-K1022,"")</x:f>
      </x:c>
      <x:c r="O1023" s="13" t="str">
        <x:v>Sem informação</x:v>
      </x:c>
      <x:c r="P1023" s="26"/>
      <x:c r="Q1023" s="13" t="str"/>
      <x:c r="R1023" s="13" t="str"/>
      <x:c r="S1023" s="13" t="str"/>
      <x:c r="T1023" s="13" t="str"/>
    </x:row>
    <x:row r="1024">
      <x:c r="A1024" s="13" t="str">
        <x:v>Otávio</x:v>
      </x:c>
      <x:c r="B1024" s="13" t="n">
        <x:v>2026</x:v>
      </x:c>
      <x:c r="C1024" s="13" t="str">
        <x:v>T3</x:v>
      </x:c>
      <x:c r="D1024" s="24" t="n">
        <x:v>46295</x:v>
      </x:c>
      <x:c r="E1024" s="13" t="str">
        <x:v>Goleiro</x:v>
      </x:c>
      <x:c r="F1024" s="13" t="str">
        <x:v>Cruzeiro EC</x:v>
      </x:c>
      <x:c r="G1024" s="16"/>
      <x:c r="H1024" s="16"/>
      <x:c r="I1024" s="16"/>
      <x:c r="J1024" s="16"/>
      <x:c r="K1024" s="16" t="str">
        <x:f>IF(COUNT(G1024,I1024)=0,"",AVERAGE(G1024,I1024))</x:f>
      </x:c>
      <x:c r="L1024" s="16" t="str">
        <x:f>IF(COUNT(H1024,J1024)=0,"",AVERAGE(H1024,J1024))</x:f>
      </x:c>
      <x:c r="M1024" s="16" t="str">
        <x:f>IF(OR(K1024="",L1024=""),"",L1024-K1024)</x:f>
      </x:c>
      <x:c r="N1024" s="16" t="str">
        <x:f>IF(AND(A1024=A1023,ISNUMBER(K1024),ISNUMBER(K1023)),K1024-K1023,"")</x:f>
      </x:c>
      <x:c r="O1024" s="13" t="str">
        <x:v>Sem informação</x:v>
      </x:c>
      <x:c r="P1024" s="26"/>
      <x:c r="Q1024" s="13" t="str"/>
      <x:c r="R1024" s="13" t="str"/>
      <x:c r="S1024" s="13" t="str"/>
      <x:c r="T1024" s="13" t="str"/>
    </x:row>
    <x:row r="1025">
      <x:c r="A1025" s="13" t="str">
        <x:v>Otávio</x:v>
      </x:c>
      <x:c r="B1025" s="13" t="n">
        <x:v>2026</x:v>
      </x:c>
      <x:c r="C1025" s="13" t="str">
        <x:v>T4</x:v>
      </x:c>
      <x:c r="D1025" s="24" t="n">
        <x:v>46387</x:v>
      </x:c>
      <x:c r="E1025" s="13" t="str">
        <x:v>Goleiro</x:v>
      </x:c>
      <x:c r="F1025" s="13" t="str">
        <x:v>Cruzeiro EC</x:v>
      </x:c>
      <x:c r="G1025" s="16"/>
      <x:c r="H1025" s="16"/>
      <x:c r="I1025" s="16"/>
      <x:c r="J1025" s="16"/>
      <x:c r="K1025" s="16" t="str">
        <x:f>IF(COUNT(G1025,I1025)=0,"",AVERAGE(G1025,I1025))</x:f>
      </x:c>
      <x:c r="L1025" s="16" t="str">
        <x:f>IF(COUNT(H1025,J1025)=0,"",AVERAGE(H1025,J1025))</x:f>
      </x:c>
      <x:c r="M1025" s="16" t="str">
        <x:f>IF(OR(K1025="",L1025=""),"",L1025-K1025)</x:f>
      </x:c>
      <x:c r="N1025" s="16" t="str">
        <x:f>IF(AND(A1025=A1024,ISNUMBER(K1025),ISNUMBER(K1024)),K1025-K1024,"")</x:f>
      </x:c>
      <x:c r="O1025" s="13" t="str">
        <x:v>Sem informação</x:v>
      </x:c>
      <x:c r="P1025" s="26"/>
      <x:c r="Q1025" s="13" t="str"/>
      <x:c r="R1025" s="13" t="str"/>
      <x:c r="S1025" s="13" t="str"/>
      <x:c r="T1025" s="13" t="str"/>
    </x:row>
    <x:row r="1026">
      <x:c r="A1026" s="13" t="str">
        <x:v>Otávio</x:v>
      </x:c>
      <x:c r="B1026" s="13" t="n">
        <x:v>2027</x:v>
      </x:c>
      <x:c r="C1026" s="13" t="str">
        <x:v>T1</x:v>
      </x:c>
      <x:c r="D1026" s="24" t="n">
        <x:v>46477</x:v>
      </x:c>
      <x:c r="E1026" s="13" t="str">
        <x:v>Goleiro</x:v>
      </x:c>
      <x:c r="F1026" s="13" t="str">
        <x:v>Cruzeiro EC</x:v>
      </x:c>
      <x:c r="G1026" s="16"/>
      <x:c r="H1026" s="16"/>
      <x:c r="I1026" s="16"/>
      <x:c r="J1026" s="16"/>
      <x:c r="K1026" s="16" t="str">
        <x:f>IF(COUNT(G1026,I1026)=0,"",AVERAGE(G1026,I1026))</x:f>
      </x:c>
      <x:c r="L1026" s="16" t="str">
        <x:f>IF(COUNT(H1026,J1026)=0,"",AVERAGE(H1026,J1026))</x:f>
      </x:c>
      <x:c r="M1026" s="16" t="str">
        <x:f>IF(OR(K1026="",L1026=""),"",L1026-K1026)</x:f>
      </x:c>
      <x:c r="N1026" s="16" t="str">
        <x:f>IF(AND(A1026=A1025,ISNUMBER(K1026),ISNUMBER(K1025)),K1026-K1025,"")</x:f>
      </x:c>
      <x:c r="O1026" s="13" t="str">
        <x:v>Sem informação</x:v>
      </x:c>
      <x:c r="P1026" s="26"/>
      <x:c r="Q1026" s="13" t="str"/>
      <x:c r="R1026" s="13" t="str"/>
      <x:c r="S1026" s="13" t="str"/>
      <x:c r="T1026" s="13" t="str"/>
    </x:row>
    <x:row r="1027">
      <x:c r="A1027" s="13" t="str">
        <x:v>Otávio</x:v>
      </x:c>
      <x:c r="B1027" s="13" t="n">
        <x:v>2027</x:v>
      </x:c>
      <x:c r="C1027" s="13" t="str">
        <x:v>T2</x:v>
      </x:c>
      <x:c r="D1027" s="24" t="n">
        <x:v>46568</x:v>
      </x:c>
      <x:c r="E1027" s="13" t="str">
        <x:v>Goleiro</x:v>
      </x:c>
      <x:c r="F1027" s="13" t="str">
        <x:v>Cruzeiro EC</x:v>
      </x:c>
      <x:c r="G1027" s="16"/>
      <x:c r="H1027" s="16"/>
      <x:c r="I1027" s="16"/>
      <x:c r="J1027" s="16"/>
      <x:c r="K1027" s="16" t="str">
        <x:f>IF(COUNT(G1027,I1027)=0,"",AVERAGE(G1027,I1027))</x:f>
      </x:c>
      <x:c r="L1027" s="16" t="str">
        <x:f>IF(COUNT(H1027,J1027)=0,"",AVERAGE(H1027,J1027))</x:f>
      </x:c>
      <x:c r="M1027" s="16" t="str">
        <x:f>IF(OR(K1027="",L1027=""),"",L1027-K1027)</x:f>
      </x:c>
      <x:c r="N1027" s="16" t="str">
        <x:f>IF(AND(A1027=A1026,ISNUMBER(K1027),ISNUMBER(K1026)),K1027-K1026,"")</x:f>
      </x:c>
      <x:c r="O1027" s="13" t="str">
        <x:v>Sem informação</x:v>
      </x:c>
      <x:c r="P1027" s="26"/>
      <x:c r="Q1027" s="13" t="str"/>
      <x:c r="R1027" s="13" t="str"/>
      <x:c r="S1027" s="13" t="str"/>
      <x:c r="T1027" s="13" t="str"/>
    </x:row>
    <x:row r="1028">
      <x:c r="A1028" s="13" t="str">
        <x:v>Otávio</x:v>
      </x:c>
      <x:c r="B1028" s="13" t="n">
        <x:v>2027</x:v>
      </x:c>
      <x:c r="C1028" s="13" t="str">
        <x:v>T3</x:v>
      </x:c>
      <x:c r="D1028" s="24" t="n">
        <x:v>46660</x:v>
      </x:c>
      <x:c r="E1028" s="13" t="str">
        <x:v>Goleiro</x:v>
      </x:c>
      <x:c r="F1028" s="13" t="str">
        <x:v>Cruzeiro EC</x:v>
      </x:c>
      <x:c r="G1028" s="16"/>
      <x:c r="H1028" s="16"/>
      <x:c r="I1028" s="16"/>
      <x:c r="J1028" s="16"/>
      <x:c r="K1028" s="16" t="str">
        <x:f>IF(COUNT(G1028,I1028)=0,"",AVERAGE(G1028,I1028))</x:f>
      </x:c>
      <x:c r="L1028" s="16" t="str">
        <x:f>IF(COUNT(H1028,J1028)=0,"",AVERAGE(H1028,J1028))</x:f>
      </x:c>
      <x:c r="M1028" s="16" t="str">
        <x:f>IF(OR(K1028="",L1028=""),"",L1028-K1028)</x:f>
      </x:c>
      <x:c r="N1028" s="16" t="str">
        <x:f>IF(AND(A1028=A1027,ISNUMBER(K1028),ISNUMBER(K1027)),K1028-K1027,"")</x:f>
      </x:c>
      <x:c r="O1028" s="13" t="str">
        <x:v>Sem informação</x:v>
      </x:c>
      <x:c r="P1028" s="26"/>
      <x:c r="Q1028" s="13" t="str"/>
      <x:c r="R1028" s="13" t="str"/>
      <x:c r="S1028" s="13" t="str"/>
      <x:c r="T1028" s="13" t="str"/>
    </x:row>
    <x:row r="1029">
      <x:c r="A1029" s="13" t="str">
        <x:v>Otávio</x:v>
      </x:c>
      <x:c r="B1029" s="13" t="n">
        <x:v>2027</x:v>
      </x:c>
      <x:c r="C1029" s="13" t="str">
        <x:v>T4</x:v>
      </x:c>
      <x:c r="D1029" s="24" t="n">
        <x:v>46752</x:v>
      </x:c>
      <x:c r="E1029" s="13" t="str">
        <x:v>Goleiro</x:v>
      </x:c>
      <x:c r="F1029" s="13" t="str">
        <x:v>Cruzeiro EC</x:v>
      </x:c>
      <x:c r="G1029" s="16"/>
      <x:c r="H1029" s="16"/>
      <x:c r="I1029" s="16"/>
      <x:c r="J1029" s="16"/>
      <x:c r="K1029" s="16" t="str">
        <x:f>IF(COUNT(G1029,I1029)=0,"",AVERAGE(G1029,I1029))</x:f>
      </x:c>
      <x:c r="L1029" s="16" t="str">
        <x:f>IF(COUNT(H1029,J1029)=0,"",AVERAGE(H1029,J1029))</x:f>
      </x:c>
      <x:c r="M1029" s="16" t="str">
        <x:f>IF(OR(K1029="",L1029=""),"",L1029-K1029)</x:f>
      </x:c>
      <x:c r="N1029" s="16" t="str">
        <x:f>IF(AND(A1029=A1028,ISNUMBER(K1029),ISNUMBER(K1028)),K1029-K1028,"")</x:f>
      </x:c>
      <x:c r="O1029" s="13" t="str">
        <x:v>Sem informação</x:v>
      </x:c>
      <x:c r="P1029" s="26"/>
      <x:c r="Q1029" s="13" t="str"/>
      <x:c r="R1029" s="13" t="str"/>
      <x:c r="S1029" s="13" t="str"/>
      <x:c r="T1029" s="13" t="str"/>
    </x:row>
    <x:row r="1030">
      <x:c r="A1030" s="13" t="str">
        <x:v>Otávio</x:v>
      </x:c>
      <x:c r="B1030" s="13" t="n">
        <x:v>2028</x:v>
      </x:c>
      <x:c r="C1030" s="13" t="str">
        <x:v>T1</x:v>
      </x:c>
      <x:c r="D1030" s="24" t="n">
        <x:v>46843</x:v>
      </x:c>
      <x:c r="E1030" s="13" t="str">
        <x:v>Goleiro</x:v>
      </x:c>
      <x:c r="F1030" s="13" t="str">
        <x:v>Cruzeiro EC</x:v>
      </x:c>
      <x:c r="G1030" s="16"/>
      <x:c r="H1030" s="16"/>
      <x:c r="I1030" s="16"/>
      <x:c r="J1030" s="16"/>
      <x:c r="K1030" s="16" t="str">
        <x:f>IF(COUNT(G1030,I1030)=0,"",AVERAGE(G1030,I1030))</x:f>
      </x:c>
      <x:c r="L1030" s="16" t="str">
        <x:f>IF(COUNT(H1030,J1030)=0,"",AVERAGE(H1030,J1030))</x:f>
      </x:c>
      <x:c r="M1030" s="16" t="str">
        <x:f>IF(OR(K1030="",L1030=""),"",L1030-K1030)</x:f>
      </x:c>
      <x:c r="N1030" s="16" t="str">
        <x:f>IF(AND(A1030=A1029,ISNUMBER(K1030),ISNUMBER(K1029)),K1030-K1029,"")</x:f>
      </x:c>
      <x:c r="O1030" s="13" t="str">
        <x:v>Sem informação</x:v>
      </x:c>
      <x:c r="P1030" s="26"/>
      <x:c r="Q1030" s="13" t="str"/>
      <x:c r="R1030" s="13" t="str"/>
      <x:c r="S1030" s="13" t="str"/>
      <x:c r="T1030" s="13" t="str"/>
    </x:row>
    <x:row r="1031">
      <x:c r="A1031" s="13" t="str">
        <x:v>Otávio</x:v>
      </x:c>
      <x:c r="B1031" s="13" t="n">
        <x:v>2028</x:v>
      </x:c>
      <x:c r="C1031" s="13" t="str">
        <x:v>T2</x:v>
      </x:c>
      <x:c r="D1031" s="24" t="n">
        <x:v>46934</x:v>
      </x:c>
      <x:c r="E1031" s="13" t="str">
        <x:v>Goleiro</x:v>
      </x:c>
      <x:c r="F1031" s="13" t="str">
        <x:v>Cruzeiro EC</x:v>
      </x:c>
      <x:c r="G1031" s="16"/>
      <x:c r="H1031" s="16"/>
      <x:c r="I1031" s="16"/>
      <x:c r="J1031" s="16"/>
      <x:c r="K1031" s="16" t="str">
        <x:f>IF(COUNT(G1031,I1031)=0,"",AVERAGE(G1031,I1031))</x:f>
      </x:c>
      <x:c r="L1031" s="16" t="str">
        <x:f>IF(COUNT(H1031,J1031)=0,"",AVERAGE(H1031,J1031))</x:f>
      </x:c>
      <x:c r="M1031" s="16" t="str">
        <x:f>IF(OR(K1031="",L1031=""),"",L1031-K1031)</x:f>
      </x:c>
      <x:c r="N1031" s="16" t="str">
        <x:f>IF(AND(A1031=A1030,ISNUMBER(K1031),ISNUMBER(K1030)),K1031-K1030,"")</x:f>
      </x:c>
      <x:c r="O1031" s="13" t="str">
        <x:v>Sem informação</x:v>
      </x:c>
      <x:c r="P1031" s="26"/>
      <x:c r="Q1031" s="13" t="str"/>
      <x:c r="R1031" s="13" t="str"/>
      <x:c r="S1031" s="13" t="str"/>
      <x:c r="T1031" s="13" t="str"/>
    </x:row>
    <x:row r="1032">
      <x:c r="A1032" s="13" t="str">
        <x:v>Otávio</x:v>
      </x:c>
      <x:c r="B1032" s="13" t="n">
        <x:v>2028</x:v>
      </x:c>
      <x:c r="C1032" s="13" t="str">
        <x:v>T3</x:v>
      </x:c>
      <x:c r="D1032" s="24" t="n">
        <x:v>47026</x:v>
      </x:c>
      <x:c r="E1032" s="13" t="str">
        <x:v>Goleiro</x:v>
      </x:c>
      <x:c r="F1032" s="13" t="str">
        <x:v>Cruzeiro EC</x:v>
      </x:c>
      <x:c r="G1032" s="16"/>
      <x:c r="H1032" s="16"/>
      <x:c r="I1032" s="16"/>
      <x:c r="J1032" s="16"/>
      <x:c r="K1032" s="16" t="str">
        <x:f>IF(COUNT(G1032,I1032)=0,"",AVERAGE(G1032,I1032))</x:f>
      </x:c>
      <x:c r="L1032" s="16" t="str">
        <x:f>IF(COUNT(H1032,J1032)=0,"",AVERAGE(H1032,J1032))</x:f>
      </x:c>
      <x:c r="M1032" s="16" t="str">
        <x:f>IF(OR(K1032="",L1032=""),"",L1032-K1032)</x:f>
      </x:c>
      <x:c r="N1032" s="16" t="str">
        <x:f>IF(AND(A1032=A1031,ISNUMBER(K1032),ISNUMBER(K1031)),K1032-K1031,"")</x:f>
      </x:c>
      <x:c r="O1032" s="13" t="str">
        <x:v>Sem informação</x:v>
      </x:c>
      <x:c r="P1032" s="26"/>
      <x:c r="Q1032" s="13" t="str"/>
      <x:c r="R1032" s="13" t="str"/>
      <x:c r="S1032" s="13" t="str"/>
      <x:c r="T1032" s="13" t="str"/>
    </x:row>
    <x:row r="1033">
      <x:c r="A1033" s="13" t="str">
        <x:v>Otávio</x:v>
      </x:c>
      <x:c r="B1033" s="13" t="n">
        <x:v>2028</x:v>
      </x:c>
      <x:c r="C1033" s="13" t="str">
        <x:v>T4</x:v>
      </x:c>
      <x:c r="D1033" s="24" t="n">
        <x:v>47118</x:v>
      </x:c>
      <x:c r="E1033" s="13" t="str">
        <x:v>Goleiro</x:v>
      </x:c>
      <x:c r="F1033" s="13" t="str">
        <x:v>Cruzeiro EC</x:v>
      </x:c>
      <x:c r="G1033" s="16"/>
      <x:c r="H1033" s="16"/>
      <x:c r="I1033" s="16"/>
      <x:c r="J1033" s="16"/>
      <x:c r="K1033" s="16" t="str">
        <x:f>IF(COUNT(G1033,I1033)=0,"",AVERAGE(G1033,I1033))</x:f>
      </x:c>
      <x:c r="L1033" s="16" t="str">
        <x:f>IF(COUNT(H1033,J1033)=0,"",AVERAGE(H1033,J1033))</x:f>
      </x:c>
      <x:c r="M1033" s="16" t="str">
        <x:f>IF(OR(K1033="",L1033=""),"",L1033-K1033)</x:f>
      </x:c>
      <x:c r="N1033" s="16" t="str">
        <x:f>IF(AND(A1033=A1032,ISNUMBER(K1033),ISNUMBER(K1032)),K1033-K1032,"")</x:f>
      </x:c>
      <x:c r="O1033" s="13" t="str">
        <x:v>Sem informação</x:v>
      </x:c>
      <x:c r="P1033" s="26"/>
      <x:c r="Q1033" s="13" t="str"/>
      <x:c r="R1033" s="13" t="str"/>
      <x:c r="S1033" s="13" t="str"/>
      <x:c r="T1033" s="13" t="str"/>
    </x:row>
    <x:row r="1034">
      <x:c r="A1034" s="13" t="str">
        <x:v>Otávio</x:v>
      </x:c>
      <x:c r="B1034" s="13" t="n">
        <x:v>2029</x:v>
      </x:c>
      <x:c r="C1034" s="13" t="str">
        <x:v>T1</x:v>
      </x:c>
      <x:c r="D1034" s="24" t="n">
        <x:v>47208</x:v>
      </x:c>
      <x:c r="E1034" s="13" t="str">
        <x:v>Goleiro</x:v>
      </x:c>
      <x:c r="F1034" s="13" t="str">
        <x:v>Cruzeiro EC</x:v>
      </x:c>
      <x:c r="G1034" s="16"/>
      <x:c r="H1034" s="16"/>
      <x:c r="I1034" s="16"/>
      <x:c r="J1034" s="16"/>
      <x:c r="K1034" s="16" t="str">
        <x:f>IF(COUNT(G1034,I1034)=0,"",AVERAGE(G1034,I1034))</x:f>
      </x:c>
      <x:c r="L1034" s="16" t="str">
        <x:f>IF(COUNT(H1034,J1034)=0,"",AVERAGE(H1034,J1034))</x:f>
      </x:c>
      <x:c r="M1034" s="16" t="str">
        <x:f>IF(OR(K1034="",L1034=""),"",L1034-K1034)</x:f>
      </x:c>
      <x:c r="N1034" s="16" t="str">
        <x:f>IF(AND(A1034=A1033,ISNUMBER(K1034),ISNUMBER(K1033)),K1034-K1033,"")</x:f>
      </x:c>
      <x:c r="O1034" s="13" t="str">
        <x:v>Sem informação</x:v>
      </x:c>
      <x:c r="P1034" s="26"/>
      <x:c r="Q1034" s="13" t="str"/>
      <x:c r="R1034" s="13" t="str"/>
      <x:c r="S1034" s="13" t="str"/>
      <x:c r="T1034" s="13" t="str"/>
    </x:row>
    <x:row r="1035">
      <x:c r="A1035" s="13" t="str">
        <x:v>Otávio</x:v>
      </x:c>
      <x:c r="B1035" s="13" t="n">
        <x:v>2029</x:v>
      </x:c>
      <x:c r="C1035" s="13" t="str">
        <x:v>T2</x:v>
      </x:c>
      <x:c r="D1035" s="24" t="n">
        <x:v>47299</x:v>
      </x:c>
      <x:c r="E1035" s="13" t="str">
        <x:v>Goleiro</x:v>
      </x:c>
      <x:c r="F1035" s="13" t="str">
        <x:v>Cruzeiro EC</x:v>
      </x:c>
      <x:c r="G1035" s="16"/>
      <x:c r="H1035" s="16"/>
      <x:c r="I1035" s="16"/>
      <x:c r="J1035" s="16"/>
      <x:c r="K1035" s="16" t="str">
        <x:f>IF(COUNT(G1035,I1035)=0,"",AVERAGE(G1035,I1035))</x:f>
      </x:c>
      <x:c r="L1035" s="16" t="str">
        <x:f>IF(COUNT(H1035,J1035)=0,"",AVERAGE(H1035,J1035))</x:f>
      </x:c>
      <x:c r="M1035" s="16" t="str">
        <x:f>IF(OR(K1035="",L1035=""),"",L1035-K1035)</x:f>
      </x:c>
      <x:c r="N1035" s="16" t="str">
        <x:f>IF(AND(A1035=A1034,ISNUMBER(K1035),ISNUMBER(K1034)),K1035-K1034,"")</x:f>
      </x:c>
      <x:c r="O1035" s="13" t="str">
        <x:v>Sem informação</x:v>
      </x:c>
      <x:c r="P1035" s="26"/>
      <x:c r="Q1035" s="13" t="str"/>
      <x:c r="R1035" s="13" t="str"/>
      <x:c r="S1035" s="13" t="str"/>
      <x:c r="T1035" s="13" t="str"/>
    </x:row>
    <x:row r="1036">
      <x:c r="A1036" s="13" t="str">
        <x:v>Otávio</x:v>
      </x:c>
      <x:c r="B1036" s="13" t="n">
        <x:v>2029</x:v>
      </x:c>
      <x:c r="C1036" s="13" t="str">
        <x:v>T3</x:v>
      </x:c>
      <x:c r="D1036" s="24" t="n">
        <x:v>47391</x:v>
      </x:c>
      <x:c r="E1036" s="13" t="str">
        <x:v>Goleiro</x:v>
      </x:c>
      <x:c r="F1036" s="13" t="str">
        <x:v>Cruzeiro EC</x:v>
      </x:c>
      <x:c r="G1036" s="16"/>
      <x:c r="H1036" s="16"/>
      <x:c r="I1036" s="16"/>
      <x:c r="J1036" s="16"/>
      <x:c r="K1036" s="16" t="str">
        <x:f>IF(COUNT(G1036,I1036)=0,"",AVERAGE(G1036,I1036))</x:f>
      </x:c>
      <x:c r="L1036" s="16" t="str">
        <x:f>IF(COUNT(H1036,J1036)=0,"",AVERAGE(H1036,J1036))</x:f>
      </x:c>
      <x:c r="M1036" s="16" t="str">
        <x:f>IF(OR(K1036="",L1036=""),"",L1036-K1036)</x:f>
      </x:c>
      <x:c r="N1036" s="16" t="str">
        <x:f>IF(AND(A1036=A1035,ISNUMBER(K1036),ISNUMBER(K1035)),K1036-K1035,"")</x:f>
      </x:c>
      <x:c r="O1036" s="13" t="str">
        <x:v>Sem informação</x:v>
      </x:c>
      <x:c r="P1036" s="26"/>
      <x:c r="Q1036" s="13" t="str"/>
      <x:c r="R1036" s="13" t="str"/>
      <x:c r="S1036" s="13" t="str"/>
      <x:c r="T1036" s="13" t="str"/>
    </x:row>
    <x:row r="1037">
      <x:c r="A1037" s="13" t="str">
        <x:v>Otávio</x:v>
      </x:c>
      <x:c r="B1037" s="13" t="n">
        <x:v>2029</x:v>
      </x:c>
      <x:c r="C1037" s="13" t="str">
        <x:v>T4</x:v>
      </x:c>
      <x:c r="D1037" s="24" t="n">
        <x:v>47483</x:v>
      </x:c>
      <x:c r="E1037" s="13" t="str">
        <x:v>Goleiro</x:v>
      </x:c>
      <x:c r="F1037" s="13" t="str">
        <x:v>Cruzeiro EC</x:v>
      </x:c>
      <x:c r="G1037" s="16"/>
      <x:c r="H1037" s="16"/>
      <x:c r="I1037" s="16"/>
      <x:c r="J1037" s="16"/>
      <x:c r="K1037" s="16" t="str">
        <x:f>IF(COUNT(G1037,I1037)=0,"",AVERAGE(G1037,I1037))</x:f>
      </x:c>
      <x:c r="L1037" s="16" t="str">
        <x:f>IF(COUNT(H1037,J1037)=0,"",AVERAGE(H1037,J1037))</x:f>
      </x:c>
      <x:c r="M1037" s="16" t="str">
        <x:f>IF(OR(K1037="",L1037=""),"",L1037-K1037)</x:f>
      </x:c>
      <x:c r="N1037" s="16" t="str">
        <x:f>IF(AND(A1037=A1036,ISNUMBER(K1037),ISNUMBER(K1036)),K1037-K1036,"")</x:f>
      </x:c>
      <x:c r="O1037" s="13" t="str">
        <x:v>Sem informação</x:v>
      </x:c>
      <x:c r="P1037" s="26"/>
      <x:c r="Q1037" s="13" t="str"/>
      <x:c r="R1037" s="13" t="str"/>
      <x:c r="S1037" s="13" t="str"/>
      <x:c r="T1037" s="13" t="str"/>
    </x:row>
    <x:row r="1038">
      <x:c r="A1038" s="13" t="str">
        <x:v>Otávio</x:v>
      </x:c>
      <x:c r="B1038" s="13" t="n">
        <x:v>2030</x:v>
      </x:c>
      <x:c r="C1038" s="13" t="str">
        <x:v>T1</x:v>
      </x:c>
      <x:c r="D1038" s="24" t="n">
        <x:v>47573</x:v>
      </x:c>
      <x:c r="E1038" s="13" t="str">
        <x:v>Goleiro</x:v>
      </x:c>
      <x:c r="F1038" s="13" t="str">
        <x:v>Cruzeiro EC</x:v>
      </x:c>
      <x:c r="G1038" s="16"/>
      <x:c r="H1038" s="16"/>
      <x:c r="I1038" s="16"/>
      <x:c r="J1038" s="16"/>
      <x:c r="K1038" s="16" t="str">
        <x:f>IF(COUNT(G1038,I1038)=0,"",AVERAGE(G1038,I1038))</x:f>
      </x:c>
      <x:c r="L1038" s="16" t="str">
        <x:f>IF(COUNT(H1038,J1038)=0,"",AVERAGE(H1038,J1038))</x:f>
      </x:c>
      <x:c r="M1038" s="16" t="str">
        <x:f>IF(OR(K1038="",L1038=""),"",L1038-K1038)</x:f>
      </x:c>
      <x:c r="N1038" s="16" t="str">
        <x:f>IF(AND(A1038=A1037,ISNUMBER(K1038),ISNUMBER(K1037)),K1038-K1037,"")</x:f>
      </x:c>
      <x:c r="O1038" s="13" t="str">
        <x:v>Sem informação</x:v>
      </x:c>
      <x:c r="P1038" s="26"/>
      <x:c r="Q1038" s="13" t="str"/>
      <x:c r="R1038" s="13" t="str"/>
      <x:c r="S1038" s="13" t="str"/>
      <x:c r="T1038" s="13" t="str"/>
    </x:row>
    <x:row r="1039">
      <x:c r="A1039" s="13" t="str">
        <x:v>Otávio</x:v>
      </x:c>
      <x:c r="B1039" s="13" t="n">
        <x:v>2030</x:v>
      </x:c>
      <x:c r="C1039" s="13" t="str">
        <x:v>T2</x:v>
      </x:c>
      <x:c r="D1039" s="24" t="n">
        <x:v>47664</x:v>
      </x:c>
      <x:c r="E1039" s="13" t="str">
        <x:v>Goleiro</x:v>
      </x:c>
      <x:c r="F1039" s="13" t="str">
        <x:v>Cruzeiro EC</x:v>
      </x:c>
      <x:c r="G1039" s="16"/>
      <x:c r="H1039" s="16"/>
      <x:c r="I1039" s="16"/>
      <x:c r="J1039" s="16"/>
      <x:c r="K1039" s="16" t="str">
        <x:f>IF(COUNT(G1039,I1039)=0,"",AVERAGE(G1039,I1039))</x:f>
      </x:c>
      <x:c r="L1039" s="16" t="str">
        <x:f>IF(COUNT(H1039,J1039)=0,"",AVERAGE(H1039,J1039))</x:f>
      </x:c>
      <x:c r="M1039" s="16" t="str">
        <x:f>IF(OR(K1039="",L1039=""),"",L1039-K1039)</x:f>
      </x:c>
      <x:c r="N1039" s="16" t="str">
        <x:f>IF(AND(A1039=A1038,ISNUMBER(K1039),ISNUMBER(K1038)),K1039-K1038,"")</x:f>
      </x:c>
      <x:c r="O1039" s="13" t="str">
        <x:v>Sem informação</x:v>
      </x:c>
      <x:c r="P1039" s="26"/>
      <x:c r="Q1039" s="13" t="str"/>
      <x:c r="R1039" s="13" t="str"/>
      <x:c r="S1039" s="13" t="str"/>
      <x:c r="T1039" s="13" t="str"/>
    </x:row>
    <x:row r="1040">
      <x:c r="A1040" s="13" t="str">
        <x:v>Otávio</x:v>
      </x:c>
      <x:c r="B1040" s="13" t="n">
        <x:v>2030</x:v>
      </x:c>
      <x:c r="C1040" s="13" t="str">
        <x:v>T3</x:v>
      </x:c>
      <x:c r="D1040" s="24" t="n">
        <x:v>47756</x:v>
      </x:c>
      <x:c r="E1040" s="13" t="str">
        <x:v>Goleiro</x:v>
      </x:c>
      <x:c r="F1040" s="13" t="str">
        <x:v>Cruzeiro EC</x:v>
      </x:c>
      <x:c r="G1040" s="16"/>
      <x:c r="H1040" s="16"/>
      <x:c r="I1040" s="16"/>
      <x:c r="J1040" s="16"/>
      <x:c r="K1040" s="16" t="str">
        <x:f>IF(COUNT(G1040,I1040)=0,"",AVERAGE(G1040,I1040))</x:f>
      </x:c>
      <x:c r="L1040" s="16" t="str">
        <x:f>IF(COUNT(H1040,J1040)=0,"",AVERAGE(H1040,J1040))</x:f>
      </x:c>
      <x:c r="M1040" s="16" t="str">
        <x:f>IF(OR(K1040="",L1040=""),"",L1040-K1040)</x:f>
      </x:c>
      <x:c r="N1040" s="16" t="str">
        <x:f>IF(AND(A1040=A1039,ISNUMBER(K1040),ISNUMBER(K1039)),K1040-K1039,"")</x:f>
      </x:c>
      <x:c r="O1040" s="13" t="str">
        <x:v>Sem informação</x:v>
      </x:c>
      <x:c r="P1040" s="26"/>
      <x:c r="Q1040" s="13" t="str"/>
      <x:c r="R1040" s="13" t="str"/>
      <x:c r="S1040" s="13" t="str"/>
      <x:c r="T1040" s="13" t="str"/>
    </x:row>
    <x:row r="1041">
      <x:c r="A1041" s="13" t="str">
        <x:v>Otávio</x:v>
      </x:c>
      <x:c r="B1041" s="13" t="n">
        <x:v>2030</x:v>
      </x:c>
      <x:c r="C1041" s="13" t="str">
        <x:v>T4</x:v>
      </x:c>
      <x:c r="D1041" s="24" t="n">
        <x:v>47848</x:v>
      </x:c>
      <x:c r="E1041" s="13" t="str">
        <x:v>Goleiro</x:v>
      </x:c>
      <x:c r="F1041" s="13" t="str">
        <x:v>Cruzeiro EC</x:v>
      </x:c>
      <x:c r="G1041" s="16"/>
      <x:c r="H1041" s="16"/>
      <x:c r="I1041" s="16"/>
      <x:c r="J1041" s="16"/>
      <x:c r="K1041" s="16" t="str">
        <x:f>IF(COUNT(G1041,I1041)=0,"",AVERAGE(G1041,I1041))</x:f>
      </x:c>
      <x:c r="L1041" s="16" t="str">
        <x:f>IF(COUNT(H1041,J1041)=0,"",AVERAGE(H1041,J1041))</x:f>
      </x:c>
      <x:c r="M1041" s="16" t="str">
        <x:f>IF(OR(K1041="",L1041=""),"",L1041-K1041)</x:f>
      </x:c>
      <x:c r="N1041" s="16" t="str">
        <x:f>IF(AND(A1041=A1040,ISNUMBER(K1041),ISNUMBER(K1040)),K1041-K1040,"")</x:f>
      </x:c>
      <x:c r="O1041" s="13" t="str">
        <x:v>Sem informação</x:v>
      </x:c>
      <x:c r="P1041" s="26"/>
      <x:c r="Q1041" s="13" t="str"/>
      <x:c r="R1041" s="13" t="str"/>
      <x:c r="S1041" s="13" t="str"/>
      <x:c r="T1041" s="13" t="str"/>
    </x:row>
    <x:row r="1042">
      <x:c r="A1042" s="13" t="str">
        <x:v>Pedro Morisco</x:v>
      </x:c>
      <x:c r="B1042" s="13" t="n">
        <x:v>2026</x:v>
      </x:c>
      <x:c r="C1042" s="13" t="str">
        <x:v>T1</x:v>
      </x:c>
      <x:c r="D1042" s="24" t="n">
        <x:v>46112</x:v>
      </x:c>
      <x:c r="E1042" s="13" t="str">
        <x:v>Goleiro</x:v>
      </x:c>
      <x:c r="F1042" s="13" t="str">
        <x:v>Coritiba Foot Ball Club</x:v>
      </x:c>
      <x:c r="G1042" s="16"/>
      <x:c r="H1042" s="16"/>
      <x:c r="I1042" s="16"/>
      <x:c r="J1042" s="16"/>
      <x:c r="K1042" s="16" t="str">
        <x:f>IF(COUNT(G1042,I1042)=0,"",AVERAGE(G1042,I1042))</x:f>
      </x:c>
      <x:c r="L1042" s="16" t="str">
        <x:f>IF(COUNT(H1042,J1042)=0,"",AVERAGE(H1042,J1042))</x:f>
      </x:c>
      <x:c r="M1042" s="16" t="str">
        <x:f>IF(OR(K1042="",L1042=""),"",L1042-K1042)</x:f>
      </x:c>
      <x:c r="N1042" s="16" t="str">
        <x:f>""</x:f>
      </x:c>
      <x:c r="O1042" s="13" t="str">
        <x:v>Sem informação</x:v>
      </x:c>
      <x:c r="P1042" s="26"/>
      <x:c r="Q1042" s="13" t="str"/>
      <x:c r="R1042" s="13" t="str"/>
      <x:c r="S1042" s="13" t="str"/>
      <x:c r="T1042" s="13" t="str"/>
    </x:row>
    <x:row r="1043">
      <x:c r="A1043" s="13" t="str">
        <x:v>Pedro Morisco</x:v>
      </x:c>
      <x:c r="B1043" s="13" t="n">
        <x:v>2026</x:v>
      </x:c>
      <x:c r="C1043" s="13" t="str">
        <x:v>T2</x:v>
      </x:c>
      <x:c r="D1043" s="24" t="n">
        <x:v>46203</x:v>
      </x:c>
      <x:c r="E1043" s="13" t="str">
        <x:v>Goleiro</x:v>
      </x:c>
      <x:c r="F1043" s="13" t="str">
        <x:v>Coritiba Foot Ball Club</x:v>
      </x:c>
      <x:c r="G1043" s="16"/>
      <x:c r="H1043" s="16"/>
      <x:c r="I1043" s="16"/>
      <x:c r="J1043" s="16"/>
      <x:c r="K1043" s="16" t="str">
        <x:f>IF(COUNT(G1043,I1043)=0,"",AVERAGE(G1043,I1043))</x:f>
      </x:c>
      <x:c r="L1043" s="16" t="str">
        <x:f>IF(COUNT(H1043,J1043)=0,"",AVERAGE(H1043,J1043))</x:f>
      </x:c>
      <x:c r="M1043" s="16" t="str">
        <x:f>IF(OR(K1043="",L1043=""),"",L1043-K1043)</x:f>
      </x:c>
      <x:c r="N1043" s="16" t="str">
        <x:f>IF(AND(A1043=A1042,ISNUMBER(K1043),ISNUMBER(K1042)),K1043-K1042,"")</x:f>
      </x:c>
      <x:c r="O1043" s="13" t="str">
        <x:v>Sem informação</x:v>
      </x:c>
      <x:c r="P1043" s="26"/>
      <x:c r="Q1043" s="13" t="str"/>
      <x:c r="R1043" s="13" t="str"/>
      <x:c r="S1043" s="13" t="str"/>
      <x:c r="T1043" s="13" t="str"/>
    </x:row>
    <x:row r="1044">
      <x:c r="A1044" s="13" t="str">
        <x:v>Pedro Morisco</x:v>
      </x:c>
      <x:c r="B1044" s="13" t="n">
        <x:v>2026</x:v>
      </x:c>
      <x:c r="C1044" s="13" t="str">
        <x:v>T3</x:v>
      </x:c>
      <x:c r="D1044" s="24" t="n">
        <x:v>46295</x:v>
      </x:c>
      <x:c r="E1044" s="13" t="str">
        <x:v>Goleiro</x:v>
      </x:c>
      <x:c r="F1044" s="13" t="str">
        <x:v>Coritiba Foot Ball Club</x:v>
      </x:c>
      <x:c r="G1044" s="16"/>
      <x:c r="H1044" s="16"/>
      <x:c r="I1044" s="16"/>
      <x:c r="J1044" s="16"/>
      <x:c r="K1044" s="16" t="str">
        <x:f>IF(COUNT(G1044,I1044)=0,"",AVERAGE(G1044,I1044))</x:f>
      </x:c>
      <x:c r="L1044" s="16" t="str">
        <x:f>IF(COUNT(H1044,J1044)=0,"",AVERAGE(H1044,J1044))</x:f>
      </x:c>
      <x:c r="M1044" s="16" t="str">
        <x:f>IF(OR(K1044="",L1044=""),"",L1044-K1044)</x:f>
      </x:c>
      <x:c r="N1044" s="16" t="str">
        <x:f>IF(AND(A1044=A1043,ISNUMBER(K1044),ISNUMBER(K1043)),K1044-K1043,"")</x:f>
      </x:c>
      <x:c r="O1044" s="13" t="str">
        <x:v>Sem informação</x:v>
      </x:c>
      <x:c r="P1044" s="26"/>
      <x:c r="Q1044" s="13" t="str"/>
      <x:c r="R1044" s="13" t="str"/>
      <x:c r="S1044" s="13" t="str"/>
      <x:c r="T1044" s="13" t="str"/>
    </x:row>
    <x:row r="1045">
      <x:c r="A1045" s="13" t="str">
        <x:v>Pedro Morisco</x:v>
      </x:c>
      <x:c r="B1045" s="13" t="n">
        <x:v>2026</x:v>
      </x:c>
      <x:c r="C1045" s="13" t="str">
        <x:v>T4</x:v>
      </x:c>
      <x:c r="D1045" s="24" t="n">
        <x:v>46387</x:v>
      </x:c>
      <x:c r="E1045" s="13" t="str">
        <x:v>Goleiro</x:v>
      </x:c>
      <x:c r="F1045" s="13" t="str">
        <x:v>Coritiba Foot Ball Club</x:v>
      </x:c>
      <x:c r="G1045" s="16"/>
      <x:c r="H1045" s="16"/>
      <x:c r="I1045" s="16"/>
      <x:c r="J1045" s="16"/>
      <x:c r="K1045" s="16" t="str">
        <x:f>IF(COUNT(G1045,I1045)=0,"",AVERAGE(G1045,I1045))</x:f>
      </x:c>
      <x:c r="L1045" s="16" t="str">
        <x:f>IF(COUNT(H1045,J1045)=0,"",AVERAGE(H1045,J1045))</x:f>
      </x:c>
      <x:c r="M1045" s="16" t="str">
        <x:f>IF(OR(K1045="",L1045=""),"",L1045-K1045)</x:f>
      </x:c>
      <x:c r="N1045" s="16" t="str">
        <x:f>IF(AND(A1045=A1044,ISNUMBER(K1045),ISNUMBER(K1044)),K1045-K1044,"")</x:f>
      </x:c>
      <x:c r="O1045" s="13" t="str">
        <x:v>Sem informação</x:v>
      </x:c>
      <x:c r="P1045" s="26"/>
      <x:c r="Q1045" s="13" t="str"/>
      <x:c r="R1045" s="13" t="str"/>
      <x:c r="S1045" s="13" t="str"/>
      <x:c r="T1045" s="13" t="str"/>
    </x:row>
    <x:row r="1046">
      <x:c r="A1046" s="13" t="str">
        <x:v>Pedro Morisco</x:v>
      </x:c>
      <x:c r="B1046" s="13" t="n">
        <x:v>2027</x:v>
      </x:c>
      <x:c r="C1046" s="13" t="str">
        <x:v>T1</x:v>
      </x:c>
      <x:c r="D1046" s="24" t="n">
        <x:v>46477</x:v>
      </x:c>
      <x:c r="E1046" s="13" t="str">
        <x:v>Goleiro</x:v>
      </x:c>
      <x:c r="F1046" s="13" t="str">
        <x:v>Coritiba Foot Ball Club</x:v>
      </x:c>
      <x:c r="G1046" s="16"/>
      <x:c r="H1046" s="16"/>
      <x:c r="I1046" s="16"/>
      <x:c r="J1046" s="16"/>
      <x:c r="K1046" s="16" t="str">
        <x:f>IF(COUNT(G1046,I1046)=0,"",AVERAGE(G1046,I1046))</x:f>
      </x:c>
      <x:c r="L1046" s="16" t="str">
        <x:f>IF(COUNT(H1046,J1046)=0,"",AVERAGE(H1046,J1046))</x:f>
      </x:c>
      <x:c r="M1046" s="16" t="str">
        <x:f>IF(OR(K1046="",L1046=""),"",L1046-K1046)</x:f>
      </x:c>
      <x:c r="N1046" s="16" t="str">
        <x:f>IF(AND(A1046=A1045,ISNUMBER(K1046),ISNUMBER(K1045)),K1046-K1045,"")</x:f>
      </x:c>
      <x:c r="O1046" s="13" t="str">
        <x:v>Sem informação</x:v>
      </x:c>
      <x:c r="P1046" s="26"/>
      <x:c r="Q1046" s="13" t="str"/>
      <x:c r="R1046" s="13" t="str"/>
      <x:c r="S1046" s="13" t="str"/>
      <x:c r="T1046" s="13" t="str"/>
    </x:row>
    <x:row r="1047">
      <x:c r="A1047" s="13" t="str">
        <x:v>Pedro Morisco</x:v>
      </x:c>
      <x:c r="B1047" s="13" t="n">
        <x:v>2027</x:v>
      </x:c>
      <x:c r="C1047" s="13" t="str">
        <x:v>T2</x:v>
      </x:c>
      <x:c r="D1047" s="24" t="n">
        <x:v>46568</x:v>
      </x:c>
      <x:c r="E1047" s="13" t="str">
        <x:v>Goleiro</x:v>
      </x:c>
      <x:c r="F1047" s="13" t="str">
        <x:v>Coritiba Foot Ball Club</x:v>
      </x:c>
      <x:c r="G1047" s="16"/>
      <x:c r="H1047" s="16"/>
      <x:c r="I1047" s="16"/>
      <x:c r="J1047" s="16"/>
      <x:c r="K1047" s="16" t="str">
        <x:f>IF(COUNT(G1047,I1047)=0,"",AVERAGE(G1047,I1047))</x:f>
      </x:c>
      <x:c r="L1047" s="16" t="str">
        <x:f>IF(COUNT(H1047,J1047)=0,"",AVERAGE(H1047,J1047))</x:f>
      </x:c>
      <x:c r="M1047" s="16" t="str">
        <x:f>IF(OR(K1047="",L1047=""),"",L1047-K1047)</x:f>
      </x:c>
      <x:c r="N1047" s="16" t="str">
        <x:f>IF(AND(A1047=A1046,ISNUMBER(K1047),ISNUMBER(K1046)),K1047-K1046,"")</x:f>
      </x:c>
      <x:c r="O1047" s="13" t="str">
        <x:v>Sem informação</x:v>
      </x:c>
      <x:c r="P1047" s="26"/>
      <x:c r="Q1047" s="13" t="str"/>
      <x:c r="R1047" s="13" t="str"/>
      <x:c r="S1047" s="13" t="str"/>
      <x:c r="T1047" s="13" t="str"/>
    </x:row>
    <x:row r="1048">
      <x:c r="A1048" s="13" t="str">
        <x:v>Pedro Morisco</x:v>
      </x:c>
      <x:c r="B1048" s="13" t="n">
        <x:v>2027</x:v>
      </x:c>
      <x:c r="C1048" s="13" t="str">
        <x:v>T3</x:v>
      </x:c>
      <x:c r="D1048" s="24" t="n">
        <x:v>46660</x:v>
      </x:c>
      <x:c r="E1048" s="13" t="str">
        <x:v>Goleiro</x:v>
      </x:c>
      <x:c r="F1048" s="13" t="str">
        <x:v>Coritiba Foot Ball Club</x:v>
      </x:c>
      <x:c r="G1048" s="16"/>
      <x:c r="H1048" s="16"/>
      <x:c r="I1048" s="16"/>
      <x:c r="J1048" s="16"/>
      <x:c r="K1048" s="16" t="str">
        <x:f>IF(COUNT(G1048,I1048)=0,"",AVERAGE(G1048,I1048))</x:f>
      </x:c>
      <x:c r="L1048" s="16" t="str">
        <x:f>IF(COUNT(H1048,J1048)=0,"",AVERAGE(H1048,J1048))</x:f>
      </x:c>
      <x:c r="M1048" s="16" t="str">
        <x:f>IF(OR(K1048="",L1048=""),"",L1048-K1048)</x:f>
      </x:c>
      <x:c r="N1048" s="16" t="str">
        <x:f>IF(AND(A1048=A1047,ISNUMBER(K1048),ISNUMBER(K1047)),K1048-K1047,"")</x:f>
      </x:c>
      <x:c r="O1048" s="13" t="str">
        <x:v>Sem informação</x:v>
      </x:c>
      <x:c r="P1048" s="26"/>
      <x:c r="Q1048" s="13" t="str"/>
      <x:c r="R1048" s="13" t="str"/>
      <x:c r="S1048" s="13" t="str"/>
      <x:c r="T1048" s="13" t="str"/>
    </x:row>
    <x:row r="1049">
      <x:c r="A1049" s="13" t="str">
        <x:v>Pedro Morisco</x:v>
      </x:c>
      <x:c r="B1049" s="13" t="n">
        <x:v>2027</x:v>
      </x:c>
      <x:c r="C1049" s="13" t="str">
        <x:v>T4</x:v>
      </x:c>
      <x:c r="D1049" s="24" t="n">
        <x:v>46752</x:v>
      </x:c>
      <x:c r="E1049" s="13" t="str">
        <x:v>Goleiro</x:v>
      </x:c>
      <x:c r="F1049" s="13" t="str">
        <x:v>Coritiba Foot Ball Club</x:v>
      </x:c>
      <x:c r="G1049" s="16"/>
      <x:c r="H1049" s="16"/>
      <x:c r="I1049" s="16"/>
      <x:c r="J1049" s="16"/>
      <x:c r="K1049" s="16" t="str">
        <x:f>IF(COUNT(G1049,I1049)=0,"",AVERAGE(G1049,I1049))</x:f>
      </x:c>
      <x:c r="L1049" s="16" t="str">
        <x:f>IF(COUNT(H1049,J1049)=0,"",AVERAGE(H1049,J1049))</x:f>
      </x:c>
      <x:c r="M1049" s="16" t="str">
        <x:f>IF(OR(K1049="",L1049=""),"",L1049-K1049)</x:f>
      </x:c>
      <x:c r="N1049" s="16" t="str">
        <x:f>IF(AND(A1049=A1048,ISNUMBER(K1049),ISNUMBER(K1048)),K1049-K1048,"")</x:f>
      </x:c>
      <x:c r="O1049" s="13" t="str">
        <x:v>Sem informação</x:v>
      </x:c>
      <x:c r="P1049" s="26"/>
      <x:c r="Q1049" s="13" t="str"/>
      <x:c r="R1049" s="13" t="str"/>
      <x:c r="S1049" s="13" t="str"/>
      <x:c r="T1049" s="13" t="str"/>
    </x:row>
    <x:row r="1050">
      <x:c r="A1050" s="13" t="str">
        <x:v>Pedro Morisco</x:v>
      </x:c>
      <x:c r="B1050" s="13" t="n">
        <x:v>2028</x:v>
      </x:c>
      <x:c r="C1050" s="13" t="str">
        <x:v>T1</x:v>
      </x:c>
      <x:c r="D1050" s="24" t="n">
        <x:v>46843</x:v>
      </x:c>
      <x:c r="E1050" s="13" t="str">
        <x:v>Goleiro</x:v>
      </x:c>
      <x:c r="F1050" s="13" t="str">
        <x:v>Coritiba Foot Ball Club</x:v>
      </x:c>
      <x:c r="G1050" s="16"/>
      <x:c r="H1050" s="16"/>
      <x:c r="I1050" s="16"/>
      <x:c r="J1050" s="16"/>
      <x:c r="K1050" s="16" t="str">
        <x:f>IF(COUNT(G1050,I1050)=0,"",AVERAGE(G1050,I1050))</x:f>
      </x:c>
      <x:c r="L1050" s="16" t="str">
        <x:f>IF(COUNT(H1050,J1050)=0,"",AVERAGE(H1050,J1050))</x:f>
      </x:c>
      <x:c r="M1050" s="16" t="str">
        <x:f>IF(OR(K1050="",L1050=""),"",L1050-K1050)</x:f>
      </x:c>
      <x:c r="N1050" s="16" t="str">
        <x:f>IF(AND(A1050=A1049,ISNUMBER(K1050),ISNUMBER(K1049)),K1050-K1049,"")</x:f>
      </x:c>
      <x:c r="O1050" s="13" t="str">
        <x:v>Sem informação</x:v>
      </x:c>
      <x:c r="P1050" s="26"/>
      <x:c r="Q1050" s="13" t="str"/>
      <x:c r="R1050" s="13" t="str"/>
      <x:c r="S1050" s="13" t="str"/>
      <x:c r="T1050" s="13" t="str"/>
    </x:row>
    <x:row r="1051">
      <x:c r="A1051" s="13" t="str">
        <x:v>Pedro Morisco</x:v>
      </x:c>
      <x:c r="B1051" s="13" t="n">
        <x:v>2028</x:v>
      </x:c>
      <x:c r="C1051" s="13" t="str">
        <x:v>T2</x:v>
      </x:c>
      <x:c r="D1051" s="24" t="n">
        <x:v>46934</x:v>
      </x:c>
      <x:c r="E1051" s="13" t="str">
        <x:v>Goleiro</x:v>
      </x:c>
      <x:c r="F1051" s="13" t="str">
        <x:v>Coritiba Foot Ball Club</x:v>
      </x:c>
      <x:c r="G1051" s="16"/>
      <x:c r="H1051" s="16"/>
      <x:c r="I1051" s="16"/>
      <x:c r="J1051" s="16"/>
      <x:c r="K1051" s="16" t="str">
        <x:f>IF(COUNT(G1051,I1051)=0,"",AVERAGE(G1051,I1051))</x:f>
      </x:c>
      <x:c r="L1051" s="16" t="str">
        <x:f>IF(COUNT(H1051,J1051)=0,"",AVERAGE(H1051,J1051))</x:f>
      </x:c>
      <x:c r="M1051" s="16" t="str">
        <x:f>IF(OR(K1051="",L1051=""),"",L1051-K1051)</x:f>
      </x:c>
      <x:c r="N1051" s="16" t="str">
        <x:f>IF(AND(A1051=A1050,ISNUMBER(K1051),ISNUMBER(K1050)),K1051-K1050,"")</x:f>
      </x:c>
      <x:c r="O1051" s="13" t="str">
        <x:v>Sem informação</x:v>
      </x:c>
      <x:c r="P1051" s="26"/>
      <x:c r="Q1051" s="13" t="str"/>
      <x:c r="R1051" s="13" t="str"/>
      <x:c r="S1051" s="13" t="str"/>
      <x:c r="T1051" s="13" t="str"/>
    </x:row>
    <x:row r="1052">
      <x:c r="A1052" s="13" t="str">
        <x:v>Pedro Morisco</x:v>
      </x:c>
      <x:c r="B1052" s="13" t="n">
        <x:v>2028</x:v>
      </x:c>
      <x:c r="C1052" s="13" t="str">
        <x:v>T3</x:v>
      </x:c>
      <x:c r="D1052" s="24" t="n">
        <x:v>47026</x:v>
      </x:c>
      <x:c r="E1052" s="13" t="str">
        <x:v>Goleiro</x:v>
      </x:c>
      <x:c r="F1052" s="13" t="str">
        <x:v>Coritiba Foot Ball Club</x:v>
      </x:c>
      <x:c r="G1052" s="16"/>
      <x:c r="H1052" s="16"/>
      <x:c r="I1052" s="16"/>
      <x:c r="J1052" s="16"/>
      <x:c r="K1052" s="16" t="str">
        <x:f>IF(COUNT(G1052,I1052)=0,"",AVERAGE(G1052,I1052))</x:f>
      </x:c>
      <x:c r="L1052" s="16" t="str">
        <x:f>IF(COUNT(H1052,J1052)=0,"",AVERAGE(H1052,J1052))</x:f>
      </x:c>
      <x:c r="M1052" s="16" t="str">
        <x:f>IF(OR(K1052="",L1052=""),"",L1052-K1052)</x:f>
      </x:c>
      <x:c r="N1052" s="16" t="str">
        <x:f>IF(AND(A1052=A1051,ISNUMBER(K1052),ISNUMBER(K1051)),K1052-K1051,"")</x:f>
      </x:c>
      <x:c r="O1052" s="13" t="str">
        <x:v>Sem informação</x:v>
      </x:c>
      <x:c r="P1052" s="26"/>
      <x:c r="Q1052" s="13" t="str"/>
      <x:c r="R1052" s="13" t="str"/>
      <x:c r="S1052" s="13" t="str"/>
      <x:c r="T1052" s="13" t="str"/>
    </x:row>
    <x:row r="1053">
      <x:c r="A1053" s="13" t="str">
        <x:v>Pedro Morisco</x:v>
      </x:c>
      <x:c r="B1053" s="13" t="n">
        <x:v>2028</x:v>
      </x:c>
      <x:c r="C1053" s="13" t="str">
        <x:v>T4</x:v>
      </x:c>
      <x:c r="D1053" s="24" t="n">
        <x:v>47118</x:v>
      </x:c>
      <x:c r="E1053" s="13" t="str">
        <x:v>Goleiro</x:v>
      </x:c>
      <x:c r="F1053" s="13" t="str">
        <x:v>Coritiba Foot Ball Club</x:v>
      </x:c>
      <x:c r="G1053" s="16"/>
      <x:c r="H1053" s="16"/>
      <x:c r="I1053" s="16"/>
      <x:c r="J1053" s="16"/>
      <x:c r="K1053" s="16" t="str">
        <x:f>IF(COUNT(G1053,I1053)=0,"",AVERAGE(G1053,I1053))</x:f>
      </x:c>
      <x:c r="L1053" s="16" t="str">
        <x:f>IF(COUNT(H1053,J1053)=0,"",AVERAGE(H1053,J1053))</x:f>
      </x:c>
      <x:c r="M1053" s="16" t="str">
        <x:f>IF(OR(K1053="",L1053=""),"",L1053-K1053)</x:f>
      </x:c>
      <x:c r="N1053" s="16" t="str">
        <x:f>IF(AND(A1053=A1052,ISNUMBER(K1053),ISNUMBER(K1052)),K1053-K1052,"")</x:f>
      </x:c>
      <x:c r="O1053" s="13" t="str">
        <x:v>Sem informação</x:v>
      </x:c>
      <x:c r="P1053" s="26"/>
      <x:c r="Q1053" s="13" t="str"/>
      <x:c r="R1053" s="13" t="str"/>
      <x:c r="S1053" s="13" t="str"/>
      <x:c r="T1053" s="13" t="str"/>
    </x:row>
    <x:row r="1054">
      <x:c r="A1054" s="13" t="str">
        <x:v>Pedro Morisco</x:v>
      </x:c>
      <x:c r="B1054" s="13" t="n">
        <x:v>2029</x:v>
      </x:c>
      <x:c r="C1054" s="13" t="str">
        <x:v>T1</x:v>
      </x:c>
      <x:c r="D1054" s="24" t="n">
        <x:v>47208</x:v>
      </x:c>
      <x:c r="E1054" s="13" t="str">
        <x:v>Goleiro</x:v>
      </x:c>
      <x:c r="F1054" s="13" t="str">
        <x:v>Coritiba Foot Ball Club</x:v>
      </x:c>
      <x:c r="G1054" s="16"/>
      <x:c r="H1054" s="16"/>
      <x:c r="I1054" s="16"/>
      <x:c r="J1054" s="16"/>
      <x:c r="K1054" s="16" t="str">
        <x:f>IF(COUNT(G1054,I1054)=0,"",AVERAGE(G1054,I1054))</x:f>
      </x:c>
      <x:c r="L1054" s="16" t="str">
        <x:f>IF(COUNT(H1054,J1054)=0,"",AVERAGE(H1054,J1054))</x:f>
      </x:c>
      <x:c r="M1054" s="16" t="str">
        <x:f>IF(OR(K1054="",L1054=""),"",L1054-K1054)</x:f>
      </x:c>
      <x:c r="N1054" s="16" t="str">
        <x:f>IF(AND(A1054=A1053,ISNUMBER(K1054),ISNUMBER(K1053)),K1054-K1053,"")</x:f>
      </x:c>
      <x:c r="O1054" s="13" t="str">
        <x:v>Sem informação</x:v>
      </x:c>
      <x:c r="P1054" s="26"/>
      <x:c r="Q1054" s="13" t="str"/>
      <x:c r="R1054" s="13" t="str"/>
      <x:c r="S1054" s="13" t="str"/>
      <x:c r="T1054" s="13" t="str"/>
    </x:row>
    <x:row r="1055">
      <x:c r="A1055" s="13" t="str">
        <x:v>Pedro Morisco</x:v>
      </x:c>
      <x:c r="B1055" s="13" t="n">
        <x:v>2029</x:v>
      </x:c>
      <x:c r="C1055" s="13" t="str">
        <x:v>T2</x:v>
      </x:c>
      <x:c r="D1055" s="24" t="n">
        <x:v>47299</x:v>
      </x:c>
      <x:c r="E1055" s="13" t="str">
        <x:v>Goleiro</x:v>
      </x:c>
      <x:c r="F1055" s="13" t="str">
        <x:v>Coritiba Foot Ball Club</x:v>
      </x:c>
      <x:c r="G1055" s="16"/>
      <x:c r="H1055" s="16"/>
      <x:c r="I1055" s="16"/>
      <x:c r="J1055" s="16"/>
      <x:c r="K1055" s="16" t="str">
        <x:f>IF(COUNT(G1055,I1055)=0,"",AVERAGE(G1055,I1055))</x:f>
      </x:c>
      <x:c r="L1055" s="16" t="str">
        <x:f>IF(COUNT(H1055,J1055)=0,"",AVERAGE(H1055,J1055))</x:f>
      </x:c>
      <x:c r="M1055" s="16" t="str">
        <x:f>IF(OR(K1055="",L1055=""),"",L1055-K1055)</x:f>
      </x:c>
      <x:c r="N1055" s="16" t="str">
        <x:f>IF(AND(A1055=A1054,ISNUMBER(K1055),ISNUMBER(K1054)),K1055-K1054,"")</x:f>
      </x:c>
      <x:c r="O1055" s="13" t="str">
        <x:v>Sem informação</x:v>
      </x:c>
      <x:c r="P1055" s="26"/>
      <x:c r="Q1055" s="13" t="str"/>
      <x:c r="R1055" s="13" t="str"/>
      <x:c r="S1055" s="13" t="str"/>
      <x:c r="T1055" s="13" t="str"/>
    </x:row>
    <x:row r="1056">
      <x:c r="A1056" s="13" t="str">
        <x:v>Pedro Morisco</x:v>
      </x:c>
      <x:c r="B1056" s="13" t="n">
        <x:v>2029</x:v>
      </x:c>
      <x:c r="C1056" s="13" t="str">
        <x:v>T3</x:v>
      </x:c>
      <x:c r="D1056" s="24" t="n">
        <x:v>47391</x:v>
      </x:c>
      <x:c r="E1056" s="13" t="str">
        <x:v>Goleiro</x:v>
      </x:c>
      <x:c r="F1056" s="13" t="str">
        <x:v>Coritiba Foot Ball Club</x:v>
      </x:c>
      <x:c r="G1056" s="16"/>
      <x:c r="H1056" s="16"/>
      <x:c r="I1056" s="16"/>
      <x:c r="J1056" s="16"/>
      <x:c r="K1056" s="16" t="str">
        <x:f>IF(COUNT(G1056,I1056)=0,"",AVERAGE(G1056,I1056))</x:f>
      </x:c>
      <x:c r="L1056" s="16" t="str">
        <x:f>IF(COUNT(H1056,J1056)=0,"",AVERAGE(H1056,J1056))</x:f>
      </x:c>
      <x:c r="M1056" s="16" t="str">
        <x:f>IF(OR(K1056="",L1056=""),"",L1056-K1056)</x:f>
      </x:c>
      <x:c r="N1056" s="16" t="str">
        <x:f>IF(AND(A1056=A1055,ISNUMBER(K1056),ISNUMBER(K1055)),K1056-K1055,"")</x:f>
      </x:c>
      <x:c r="O1056" s="13" t="str">
        <x:v>Sem informação</x:v>
      </x:c>
      <x:c r="P1056" s="26"/>
      <x:c r="Q1056" s="13" t="str"/>
      <x:c r="R1056" s="13" t="str"/>
      <x:c r="S1056" s="13" t="str"/>
      <x:c r="T1056" s="13" t="str"/>
    </x:row>
    <x:row r="1057">
      <x:c r="A1057" s="13" t="str">
        <x:v>Pedro Morisco</x:v>
      </x:c>
      <x:c r="B1057" s="13" t="n">
        <x:v>2029</x:v>
      </x:c>
      <x:c r="C1057" s="13" t="str">
        <x:v>T4</x:v>
      </x:c>
      <x:c r="D1057" s="24" t="n">
        <x:v>47483</x:v>
      </x:c>
      <x:c r="E1057" s="13" t="str">
        <x:v>Goleiro</x:v>
      </x:c>
      <x:c r="F1057" s="13" t="str">
        <x:v>Coritiba Foot Ball Club</x:v>
      </x:c>
      <x:c r="G1057" s="16"/>
      <x:c r="H1057" s="16"/>
      <x:c r="I1057" s="16"/>
      <x:c r="J1057" s="16"/>
      <x:c r="K1057" s="16" t="str">
        <x:f>IF(COUNT(G1057,I1057)=0,"",AVERAGE(G1057,I1057))</x:f>
      </x:c>
      <x:c r="L1057" s="16" t="str">
        <x:f>IF(COUNT(H1057,J1057)=0,"",AVERAGE(H1057,J1057))</x:f>
      </x:c>
      <x:c r="M1057" s="16" t="str">
        <x:f>IF(OR(K1057="",L1057=""),"",L1057-K1057)</x:f>
      </x:c>
      <x:c r="N1057" s="16" t="str">
        <x:f>IF(AND(A1057=A1056,ISNUMBER(K1057),ISNUMBER(K1056)),K1057-K1056,"")</x:f>
      </x:c>
      <x:c r="O1057" s="13" t="str">
        <x:v>Sem informação</x:v>
      </x:c>
      <x:c r="P1057" s="26"/>
      <x:c r="Q1057" s="13" t="str"/>
      <x:c r="R1057" s="13" t="str"/>
      <x:c r="S1057" s="13" t="str"/>
      <x:c r="T1057" s="13" t="str"/>
    </x:row>
    <x:row r="1058">
      <x:c r="A1058" s="13" t="str">
        <x:v>Pedro Morisco</x:v>
      </x:c>
      <x:c r="B1058" s="13" t="n">
        <x:v>2030</x:v>
      </x:c>
      <x:c r="C1058" s="13" t="str">
        <x:v>T1</x:v>
      </x:c>
      <x:c r="D1058" s="24" t="n">
        <x:v>47573</x:v>
      </x:c>
      <x:c r="E1058" s="13" t="str">
        <x:v>Goleiro</x:v>
      </x:c>
      <x:c r="F1058" s="13" t="str">
        <x:v>Coritiba Foot Ball Club</x:v>
      </x:c>
      <x:c r="G1058" s="16"/>
      <x:c r="H1058" s="16"/>
      <x:c r="I1058" s="16"/>
      <x:c r="J1058" s="16"/>
      <x:c r="K1058" s="16" t="str">
        <x:f>IF(COUNT(G1058,I1058)=0,"",AVERAGE(G1058,I1058))</x:f>
      </x:c>
      <x:c r="L1058" s="16" t="str">
        <x:f>IF(COUNT(H1058,J1058)=0,"",AVERAGE(H1058,J1058))</x:f>
      </x:c>
      <x:c r="M1058" s="16" t="str">
        <x:f>IF(OR(K1058="",L1058=""),"",L1058-K1058)</x:f>
      </x:c>
      <x:c r="N1058" s="16" t="str">
        <x:f>IF(AND(A1058=A1057,ISNUMBER(K1058),ISNUMBER(K1057)),K1058-K1057,"")</x:f>
      </x:c>
      <x:c r="O1058" s="13" t="str">
        <x:v>Sem informação</x:v>
      </x:c>
      <x:c r="P1058" s="26"/>
      <x:c r="Q1058" s="13" t="str"/>
      <x:c r="R1058" s="13" t="str"/>
      <x:c r="S1058" s="13" t="str"/>
      <x:c r="T1058" s="13" t="str"/>
    </x:row>
    <x:row r="1059">
      <x:c r="A1059" s="13" t="str">
        <x:v>Pedro Morisco</x:v>
      </x:c>
      <x:c r="B1059" s="13" t="n">
        <x:v>2030</x:v>
      </x:c>
      <x:c r="C1059" s="13" t="str">
        <x:v>T2</x:v>
      </x:c>
      <x:c r="D1059" s="24" t="n">
        <x:v>47664</x:v>
      </x:c>
      <x:c r="E1059" s="13" t="str">
        <x:v>Goleiro</x:v>
      </x:c>
      <x:c r="F1059" s="13" t="str">
        <x:v>Coritiba Foot Ball Club</x:v>
      </x:c>
      <x:c r="G1059" s="16"/>
      <x:c r="H1059" s="16"/>
      <x:c r="I1059" s="16"/>
      <x:c r="J1059" s="16"/>
      <x:c r="K1059" s="16" t="str">
        <x:f>IF(COUNT(G1059,I1059)=0,"",AVERAGE(G1059,I1059))</x:f>
      </x:c>
      <x:c r="L1059" s="16" t="str">
        <x:f>IF(COUNT(H1059,J1059)=0,"",AVERAGE(H1059,J1059))</x:f>
      </x:c>
      <x:c r="M1059" s="16" t="str">
        <x:f>IF(OR(K1059="",L1059=""),"",L1059-K1059)</x:f>
      </x:c>
      <x:c r="N1059" s="16" t="str">
        <x:f>IF(AND(A1059=A1058,ISNUMBER(K1059),ISNUMBER(K1058)),K1059-K1058,"")</x:f>
      </x:c>
      <x:c r="O1059" s="13" t="str">
        <x:v>Sem informação</x:v>
      </x:c>
      <x:c r="P1059" s="26"/>
      <x:c r="Q1059" s="13" t="str"/>
      <x:c r="R1059" s="13" t="str"/>
      <x:c r="S1059" s="13" t="str"/>
      <x:c r="T1059" s="13" t="str"/>
    </x:row>
    <x:row r="1060">
      <x:c r="A1060" s="13" t="str">
        <x:v>Pedro Morisco</x:v>
      </x:c>
      <x:c r="B1060" s="13" t="n">
        <x:v>2030</x:v>
      </x:c>
      <x:c r="C1060" s="13" t="str">
        <x:v>T3</x:v>
      </x:c>
      <x:c r="D1060" s="24" t="n">
        <x:v>47756</x:v>
      </x:c>
      <x:c r="E1060" s="13" t="str">
        <x:v>Goleiro</x:v>
      </x:c>
      <x:c r="F1060" s="13" t="str">
        <x:v>Coritiba Foot Ball Club</x:v>
      </x:c>
      <x:c r="G1060" s="16"/>
      <x:c r="H1060" s="16"/>
      <x:c r="I1060" s="16"/>
      <x:c r="J1060" s="16"/>
      <x:c r="K1060" s="16" t="str">
        <x:f>IF(COUNT(G1060,I1060)=0,"",AVERAGE(G1060,I1060))</x:f>
      </x:c>
      <x:c r="L1060" s="16" t="str">
        <x:f>IF(COUNT(H1060,J1060)=0,"",AVERAGE(H1060,J1060))</x:f>
      </x:c>
      <x:c r="M1060" s="16" t="str">
        <x:f>IF(OR(K1060="",L1060=""),"",L1060-K1060)</x:f>
      </x:c>
      <x:c r="N1060" s="16" t="str">
        <x:f>IF(AND(A1060=A1059,ISNUMBER(K1060),ISNUMBER(K1059)),K1060-K1059,"")</x:f>
      </x:c>
      <x:c r="O1060" s="13" t="str">
        <x:v>Sem informação</x:v>
      </x:c>
      <x:c r="P1060" s="26"/>
      <x:c r="Q1060" s="13" t="str"/>
      <x:c r="R1060" s="13" t="str"/>
      <x:c r="S1060" s="13" t="str"/>
      <x:c r="T1060" s="13" t="str"/>
    </x:row>
    <x:row r="1061">
      <x:c r="A1061" s="13" t="str">
        <x:v>Pedro Morisco</x:v>
      </x:c>
      <x:c r="B1061" s="13" t="n">
        <x:v>2030</x:v>
      </x:c>
      <x:c r="C1061" s="13" t="str">
        <x:v>T4</x:v>
      </x:c>
      <x:c r="D1061" s="24" t="n">
        <x:v>47848</x:v>
      </x:c>
      <x:c r="E1061" s="13" t="str">
        <x:v>Goleiro</x:v>
      </x:c>
      <x:c r="F1061" s="13" t="str">
        <x:v>Coritiba Foot Ball Club</x:v>
      </x:c>
      <x:c r="G1061" s="16"/>
      <x:c r="H1061" s="16"/>
      <x:c r="I1061" s="16"/>
      <x:c r="J1061" s="16"/>
      <x:c r="K1061" s="16" t="str">
        <x:f>IF(COUNT(G1061,I1061)=0,"",AVERAGE(G1061,I1061))</x:f>
      </x:c>
      <x:c r="L1061" s="16" t="str">
        <x:f>IF(COUNT(H1061,J1061)=0,"",AVERAGE(H1061,J1061))</x:f>
      </x:c>
      <x:c r="M1061" s="16" t="str">
        <x:f>IF(OR(K1061="",L1061=""),"",L1061-K1061)</x:f>
      </x:c>
      <x:c r="N1061" s="16" t="str">
        <x:f>IF(AND(A1061=A1060,ISNUMBER(K1061),ISNUMBER(K1060)),K1061-K1060,"")</x:f>
      </x:c>
      <x:c r="O1061" s="13" t="str">
        <x:v>Sem informação</x:v>
      </x:c>
      <x:c r="P1061" s="26"/>
      <x:c r="Q1061" s="13" t="str"/>
      <x:c r="R1061" s="13" t="str"/>
      <x:c r="S1061" s="13" t="str"/>
      <x:c r="T1061" s="13" t="str"/>
    </x:row>
    <x:row r="1062">
      <x:c r="A1062" s="13" t="str">
        <x:v>Raphinha</x:v>
      </x:c>
      <x:c r="B1062" s="13" t="n">
        <x:v>2026</x:v>
      </x:c>
      <x:c r="C1062" s="13" t="str">
        <x:v>T1</x:v>
      </x:c>
      <x:c r="D1062" s="24" t="n">
        <x:v>46112</x:v>
      </x:c>
      <x:c r="E1062" s="13" t="str">
        <x:v>Ponta-esquerda</x:v>
      </x:c>
      <x:c r="F1062" s="13" t="str">
        <x:v>FC Barcelona</x:v>
      </x:c>
      <x:c r="G1062" s="16"/>
      <x:c r="H1062" s="16"/>
      <x:c r="I1062" s="16"/>
      <x:c r="J1062" s="16"/>
      <x:c r="K1062" s="16" t="str">
        <x:f>IF(COUNT(G1062,I1062)=0,"",AVERAGE(G1062,I1062))</x:f>
      </x:c>
      <x:c r="L1062" s="16" t="str">
        <x:f>IF(COUNT(H1062,J1062)=0,"",AVERAGE(H1062,J1062))</x:f>
      </x:c>
      <x:c r="M1062" s="16" t="str">
        <x:f>IF(OR(K1062="",L1062=""),"",L1062-K1062)</x:f>
      </x:c>
      <x:c r="N1062" s="16" t="str">
        <x:f>""</x:f>
      </x:c>
      <x:c r="O1062" s="13" t="str">
        <x:v>Sem informação</x:v>
      </x:c>
      <x:c r="P1062" s="26"/>
      <x:c r="Q1062" s="13" t="str"/>
      <x:c r="R1062" s="13" t="str"/>
      <x:c r="S1062" s="13" t="str"/>
      <x:c r="T1062" s="13" t="str"/>
    </x:row>
    <x:row r="1063">
      <x:c r="A1063" s="13" t="str">
        <x:v>Raphinha</x:v>
      </x:c>
      <x:c r="B1063" s="13" t="n">
        <x:v>2026</x:v>
      </x:c>
      <x:c r="C1063" s="13" t="str">
        <x:v>T2</x:v>
      </x:c>
      <x:c r="D1063" s="24" t="n">
        <x:v>46203</x:v>
      </x:c>
      <x:c r="E1063" s="13" t="str">
        <x:v>Ponta-esquerda</x:v>
      </x:c>
      <x:c r="F1063" s="13" t="str">
        <x:v>FC Barcelona</x:v>
      </x:c>
      <x:c r="G1063" s="16"/>
      <x:c r="H1063" s="16"/>
      <x:c r="I1063" s="16"/>
      <x:c r="J1063" s="16"/>
      <x:c r="K1063" s="16" t="str">
        <x:f>IF(COUNT(G1063,I1063)=0,"",AVERAGE(G1063,I1063))</x:f>
      </x:c>
      <x:c r="L1063" s="16" t="str">
        <x:f>IF(COUNT(H1063,J1063)=0,"",AVERAGE(H1063,J1063))</x:f>
      </x:c>
      <x:c r="M1063" s="16" t="str">
        <x:f>IF(OR(K1063="",L1063=""),"",L1063-K1063)</x:f>
      </x:c>
      <x:c r="N1063" s="16" t="str">
        <x:f>IF(AND(A1063=A1062,ISNUMBER(K1063),ISNUMBER(K1062)),K1063-K1062,"")</x:f>
      </x:c>
      <x:c r="O1063" s="13" t="str">
        <x:v>Sem informação</x:v>
      </x:c>
      <x:c r="P1063" s="26"/>
      <x:c r="Q1063" s="13" t="str"/>
      <x:c r="R1063" s="13" t="str"/>
      <x:c r="S1063" s="13" t="str"/>
      <x:c r="T1063" s="13" t="str"/>
    </x:row>
    <x:row r="1064">
      <x:c r="A1064" s="13" t="str">
        <x:v>Raphinha</x:v>
      </x:c>
      <x:c r="B1064" s="13" t="n">
        <x:v>2026</x:v>
      </x:c>
      <x:c r="C1064" s="13" t="str">
        <x:v>T3</x:v>
      </x:c>
      <x:c r="D1064" s="24" t="n">
        <x:v>46295</x:v>
      </x:c>
      <x:c r="E1064" s="13" t="str">
        <x:v>Ponta-esquerda</x:v>
      </x:c>
      <x:c r="F1064" s="13" t="str">
        <x:v>FC Barcelona</x:v>
      </x:c>
      <x:c r="G1064" s="16"/>
      <x:c r="H1064" s="16"/>
      <x:c r="I1064" s="16"/>
      <x:c r="J1064" s="16"/>
      <x:c r="K1064" s="16" t="str">
        <x:f>IF(COUNT(G1064,I1064)=0,"",AVERAGE(G1064,I1064))</x:f>
      </x:c>
      <x:c r="L1064" s="16" t="str">
        <x:f>IF(COUNT(H1064,J1064)=0,"",AVERAGE(H1064,J1064))</x:f>
      </x:c>
      <x:c r="M1064" s="16" t="str">
        <x:f>IF(OR(K1064="",L1064=""),"",L1064-K1064)</x:f>
      </x:c>
      <x:c r="N1064" s="16" t="str">
        <x:f>IF(AND(A1064=A1063,ISNUMBER(K1064),ISNUMBER(K1063)),K1064-K1063,"")</x:f>
      </x:c>
      <x:c r="O1064" s="13" t="str">
        <x:v>Sem informação</x:v>
      </x:c>
      <x:c r="P1064" s="26"/>
      <x:c r="Q1064" s="13" t="str"/>
      <x:c r="R1064" s="13" t="str"/>
      <x:c r="S1064" s="13" t="str"/>
      <x:c r="T1064" s="13" t="str"/>
    </x:row>
    <x:row r="1065">
      <x:c r="A1065" s="13" t="str">
        <x:v>Raphinha</x:v>
      </x:c>
      <x:c r="B1065" s="13" t="n">
        <x:v>2026</x:v>
      </x:c>
      <x:c r="C1065" s="13" t="str">
        <x:v>T4</x:v>
      </x:c>
      <x:c r="D1065" s="24" t="n">
        <x:v>46387</x:v>
      </x:c>
      <x:c r="E1065" s="13" t="str">
        <x:v>Ponta-esquerda</x:v>
      </x:c>
      <x:c r="F1065" s="13" t="str">
        <x:v>FC Barcelona</x:v>
      </x:c>
      <x:c r="G1065" s="16"/>
      <x:c r="H1065" s="16"/>
      <x:c r="I1065" s="16"/>
      <x:c r="J1065" s="16"/>
      <x:c r="K1065" s="16" t="str">
        <x:f>IF(COUNT(G1065,I1065)=0,"",AVERAGE(G1065,I1065))</x:f>
      </x:c>
      <x:c r="L1065" s="16" t="str">
        <x:f>IF(COUNT(H1065,J1065)=0,"",AVERAGE(H1065,J1065))</x:f>
      </x:c>
      <x:c r="M1065" s="16" t="str">
        <x:f>IF(OR(K1065="",L1065=""),"",L1065-K1065)</x:f>
      </x:c>
      <x:c r="N1065" s="16" t="str">
        <x:f>IF(AND(A1065=A1064,ISNUMBER(K1065),ISNUMBER(K1064)),K1065-K1064,"")</x:f>
      </x:c>
      <x:c r="O1065" s="13" t="str">
        <x:v>Sem informação</x:v>
      </x:c>
      <x:c r="P1065" s="26"/>
      <x:c r="Q1065" s="13" t="str"/>
      <x:c r="R1065" s="13" t="str"/>
      <x:c r="S1065" s="13" t="str"/>
      <x:c r="T1065" s="13" t="str"/>
    </x:row>
    <x:row r="1066">
      <x:c r="A1066" s="13" t="str">
        <x:v>Raphinha</x:v>
      </x:c>
      <x:c r="B1066" s="13" t="n">
        <x:v>2027</x:v>
      </x:c>
      <x:c r="C1066" s="13" t="str">
        <x:v>T1</x:v>
      </x:c>
      <x:c r="D1066" s="24" t="n">
        <x:v>46477</x:v>
      </x:c>
      <x:c r="E1066" s="13" t="str">
        <x:v>Ponta-esquerda</x:v>
      </x:c>
      <x:c r="F1066" s="13" t="str">
        <x:v>FC Barcelona</x:v>
      </x:c>
      <x:c r="G1066" s="16"/>
      <x:c r="H1066" s="16"/>
      <x:c r="I1066" s="16"/>
      <x:c r="J1066" s="16"/>
      <x:c r="K1066" s="16" t="str">
        <x:f>IF(COUNT(G1066,I1066)=0,"",AVERAGE(G1066,I1066))</x:f>
      </x:c>
      <x:c r="L1066" s="16" t="str">
        <x:f>IF(COUNT(H1066,J1066)=0,"",AVERAGE(H1066,J1066))</x:f>
      </x:c>
      <x:c r="M1066" s="16" t="str">
        <x:f>IF(OR(K1066="",L1066=""),"",L1066-K1066)</x:f>
      </x:c>
      <x:c r="N1066" s="16" t="str">
        <x:f>IF(AND(A1066=A1065,ISNUMBER(K1066),ISNUMBER(K1065)),K1066-K1065,"")</x:f>
      </x:c>
      <x:c r="O1066" s="13" t="str">
        <x:v>Sem informação</x:v>
      </x:c>
      <x:c r="P1066" s="26"/>
      <x:c r="Q1066" s="13" t="str"/>
      <x:c r="R1066" s="13" t="str"/>
      <x:c r="S1066" s="13" t="str"/>
      <x:c r="T1066" s="13" t="str"/>
    </x:row>
    <x:row r="1067">
      <x:c r="A1067" s="13" t="str">
        <x:v>Raphinha</x:v>
      </x:c>
      <x:c r="B1067" s="13" t="n">
        <x:v>2027</x:v>
      </x:c>
      <x:c r="C1067" s="13" t="str">
        <x:v>T2</x:v>
      </x:c>
      <x:c r="D1067" s="24" t="n">
        <x:v>46568</x:v>
      </x:c>
      <x:c r="E1067" s="13" t="str">
        <x:v>Ponta-esquerda</x:v>
      </x:c>
      <x:c r="F1067" s="13" t="str">
        <x:v>FC Barcelona</x:v>
      </x:c>
      <x:c r="G1067" s="16"/>
      <x:c r="H1067" s="16"/>
      <x:c r="I1067" s="16"/>
      <x:c r="J1067" s="16"/>
      <x:c r="K1067" s="16" t="str">
        <x:f>IF(COUNT(G1067,I1067)=0,"",AVERAGE(G1067,I1067))</x:f>
      </x:c>
      <x:c r="L1067" s="16" t="str">
        <x:f>IF(COUNT(H1067,J1067)=0,"",AVERAGE(H1067,J1067))</x:f>
      </x:c>
      <x:c r="M1067" s="16" t="str">
        <x:f>IF(OR(K1067="",L1067=""),"",L1067-K1067)</x:f>
      </x:c>
      <x:c r="N1067" s="16" t="str">
        <x:f>IF(AND(A1067=A1066,ISNUMBER(K1067),ISNUMBER(K1066)),K1067-K1066,"")</x:f>
      </x:c>
      <x:c r="O1067" s="13" t="str">
        <x:v>Sem informação</x:v>
      </x:c>
      <x:c r="P1067" s="26"/>
      <x:c r="Q1067" s="13" t="str"/>
      <x:c r="R1067" s="13" t="str"/>
      <x:c r="S1067" s="13" t="str"/>
      <x:c r="T1067" s="13" t="str"/>
    </x:row>
    <x:row r="1068">
      <x:c r="A1068" s="13" t="str">
        <x:v>Raphinha</x:v>
      </x:c>
      <x:c r="B1068" s="13" t="n">
        <x:v>2027</x:v>
      </x:c>
      <x:c r="C1068" s="13" t="str">
        <x:v>T3</x:v>
      </x:c>
      <x:c r="D1068" s="24" t="n">
        <x:v>46660</x:v>
      </x:c>
      <x:c r="E1068" s="13" t="str">
        <x:v>Ponta-esquerda</x:v>
      </x:c>
      <x:c r="F1068" s="13" t="str">
        <x:v>FC Barcelona</x:v>
      </x:c>
      <x:c r="G1068" s="16"/>
      <x:c r="H1068" s="16"/>
      <x:c r="I1068" s="16"/>
      <x:c r="J1068" s="16"/>
      <x:c r="K1068" s="16" t="str">
        <x:f>IF(COUNT(G1068,I1068)=0,"",AVERAGE(G1068,I1068))</x:f>
      </x:c>
      <x:c r="L1068" s="16" t="str">
        <x:f>IF(COUNT(H1068,J1068)=0,"",AVERAGE(H1068,J1068))</x:f>
      </x:c>
      <x:c r="M1068" s="16" t="str">
        <x:f>IF(OR(K1068="",L1068=""),"",L1068-K1068)</x:f>
      </x:c>
      <x:c r="N1068" s="16" t="str">
        <x:f>IF(AND(A1068=A1067,ISNUMBER(K1068),ISNUMBER(K1067)),K1068-K1067,"")</x:f>
      </x:c>
      <x:c r="O1068" s="13" t="str">
        <x:v>Sem informação</x:v>
      </x:c>
      <x:c r="P1068" s="26"/>
      <x:c r="Q1068" s="13" t="str"/>
      <x:c r="R1068" s="13" t="str"/>
      <x:c r="S1068" s="13" t="str"/>
      <x:c r="T1068" s="13" t="str"/>
    </x:row>
    <x:row r="1069">
      <x:c r="A1069" s="13" t="str">
        <x:v>Raphinha</x:v>
      </x:c>
      <x:c r="B1069" s="13" t="n">
        <x:v>2027</x:v>
      </x:c>
      <x:c r="C1069" s="13" t="str">
        <x:v>T4</x:v>
      </x:c>
      <x:c r="D1069" s="24" t="n">
        <x:v>46752</x:v>
      </x:c>
      <x:c r="E1069" s="13" t="str">
        <x:v>Ponta-esquerda</x:v>
      </x:c>
      <x:c r="F1069" s="13" t="str">
        <x:v>FC Barcelona</x:v>
      </x:c>
      <x:c r="G1069" s="16"/>
      <x:c r="H1069" s="16"/>
      <x:c r="I1069" s="16"/>
      <x:c r="J1069" s="16"/>
      <x:c r="K1069" s="16" t="str">
        <x:f>IF(COUNT(G1069,I1069)=0,"",AVERAGE(G1069,I1069))</x:f>
      </x:c>
      <x:c r="L1069" s="16" t="str">
        <x:f>IF(COUNT(H1069,J1069)=0,"",AVERAGE(H1069,J1069))</x:f>
      </x:c>
      <x:c r="M1069" s="16" t="str">
        <x:f>IF(OR(K1069="",L1069=""),"",L1069-K1069)</x:f>
      </x:c>
      <x:c r="N1069" s="16" t="str">
        <x:f>IF(AND(A1069=A1068,ISNUMBER(K1069),ISNUMBER(K1068)),K1069-K1068,"")</x:f>
      </x:c>
      <x:c r="O1069" s="13" t="str">
        <x:v>Sem informação</x:v>
      </x:c>
      <x:c r="P1069" s="26"/>
      <x:c r="Q1069" s="13" t="str"/>
      <x:c r="R1069" s="13" t="str"/>
      <x:c r="S1069" s="13" t="str"/>
      <x:c r="T1069" s="13" t="str"/>
    </x:row>
    <x:row r="1070">
      <x:c r="A1070" s="13" t="str">
        <x:v>Raphinha</x:v>
      </x:c>
      <x:c r="B1070" s="13" t="n">
        <x:v>2028</x:v>
      </x:c>
      <x:c r="C1070" s="13" t="str">
        <x:v>T1</x:v>
      </x:c>
      <x:c r="D1070" s="24" t="n">
        <x:v>46843</x:v>
      </x:c>
      <x:c r="E1070" s="13" t="str">
        <x:v>Ponta-esquerda</x:v>
      </x:c>
      <x:c r="F1070" s="13" t="str">
        <x:v>FC Barcelona</x:v>
      </x:c>
      <x:c r="G1070" s="16"/>
      <x:c r="H1070" s="16"/>
      <x:c r="I1070" s="16"/>
      <x:c r="J1070" s="16"/>
      <x:c r="K1070" s="16" t="str">
        <x:f>IF(COUNT(G1070,I1070)=0,"",AVERAGE(G1070,I1070))</x:f>
      </x:c>
      <x:c r="L1070" s="16" t="str">
        <x:f>IF(COUNT(H1070,J1070)=0,"",AVERAGE(H1070,J1070))</x:f>
      </x:c>
      <x:c r="M1070" s="16" t="str">
        <x:f>IF(OR(K1070="",L1070=""),"",L1070-K1070)</x:f>
      </x:c>
      <x:c r="N1070" s="16" t="str">
        <x:f>IF(AND(A1070=A1069,ISNUMBER(K1070),ISNUMBER(K1069)),K1070-K1069,"")</x:f>
      </x:c>
      <x:c r="O1070" s="13" t="str">
        <x:v>Sem informação</x:v>
      </x:c>
      <x:c r="P1070" s="26"/>
      <x:c r="Q1070" s="13" t="str"/>
      <x:c r="R1070" s="13" t="str"/>
      <x:c r="S1070" s="13" t="str"/>
      <x:c r="T1070" s="13" t="str"/>
    </x:row>
    <x:row r="1071">
      <x:c r="A1071" s="13" t="str">
        <x:v>Raphinha</x:v>
      </x:c>
      <x:c r="B1071" s="13" t="n">
        <x:v>2028</x:v>
      </x:c>
      <x:c r="C1071" s="13" t="str">
        <x:v>T2</x:v>
      </x:c>
      <x:c r="D1071" s="24" t="n">
        <x:v>46934</x:v>
      </x:c>
      <x:c r="E1071" s="13" t="str">
        <x:v>Ponta-esquerda</x:v>
      </x:c>
      <x:c r="F1071" s="13" t="str">
        <x:v>FC Barcelona</x:v>
      </x:c>
      <x:c r="G1071" s="16"/>
      <x:c r="H1071" s="16"/>
      <x:c r="I1071" s="16"/>
      <x:c r="J1071" s="16"/>
      <x:c r="K1071" s="16" t="str">
        <x:f>IF(COUNT(G1071,I1071)=0,"",AVERAGE(G1071,I1071))</x:f>
      </x:c>
      <x:c r="L1071" s="16" t="str">
        <x:f>IF(COUNT(H1071,J1071)=0,"",AVERAGE(H1071,J1071))</x:f>
      </x:c>
      <x:c r="M1071" s="16" t="str">
        <x:f>IF(OR(K1071="",L1071=""),"",L1071-K1071)</x:f>
      </x:c>
      <x:c r="N1071" s="16" t="str">
        <x:f>IF(AND(A1071=A1070,ISNUMBER(K1071),ISNUMBER(K1070)),K1071-K1070,"")</x:f>
      </x:c>
      <x:c r="O1071" s="13" t="str">
        <x:v>Sem informação</x:v>
      </x:c>
      <x:c r="P1071" s="26"/>
      <x:c r="Q1071" s="13" t="str"/>
      <x:c r="R1071" s="13" t="str"/>
      <x:c r="S1071" s="13" t="str"/>
      <x:c r="T1071" s="13" t="str"/>
    </x:row>
    <x:row r="1072">
      <x:c r="A1072" s="13" t="str">
        <x:v>Raphinha</x:v>
      </x:c>
      <x:c r="B1072" s="13" t="n">
        <x:v>2028</x:v>
      </x:c>
      <x:c r="C1072" s="13" t="str">
        <x:v>T3</x:v>
      </x:c>
      <x:c r="D1072" s="24" t="n">
        <x:v>47026</x:v>
      </x:c>
      <x:c r="E1072" s="13" t="str">
        <x:v>Ponta-esquerda</x:v>
      </x:c>
      <x:c r="F1072" s="13" t="str">
        <x:v>FC Barcelona</x:v>
      </x:c>
      <x:c r="G1072" s="16"/>
      <x:c r="H1072" s="16"/>
      <x:c r="I1072" s="16"/>
      <x:c r="J1072" s="16"/>
      <x:c r="K1072" s="16" t="str">
        <x:f>IF(COUNT(G1072,I1072)=0,"",AVERAGE(G1072,I1072))</x:f>
      </x:c>
      <x:c r="L1072" s="16" t="str">
        <x:f>IF(COUNT(H1072,J1072)=0,"",AVERAGE(H1072,J1072))</x:f>
      </x:c>
      <x:c r="M1072" s="16" t="str">
        <x:f>IF(OR(K1072="",L1072=""),"",L1072-K1072)</x:f>
      </x:c>
      <x:c r="N1072" s="16" t="str">
        <x:f>IF(AND(A1072=A1071,ISNUMBER(K1072),ISNUMBER(K1071)),K1072-K1071,"")</x:f>
      </x:c>
      <x:c r="O1072" s="13" t="str">
        <x:v>Sem informação</x:v>
      </x:c>
      <x:c r="P1072" s="26"/>
      <x:c r="Q1072" s="13" t="str"/>
      <x:c r="R1072" s="13" t="str"/>
      <x:c r="S1072" s="13" t="str"/>
      <x:c r="T1072" s="13" t="str"/>
    </x:row>
    <x:row r="1073">
      <x:c r="A1073" s="13" t="str">
        <x:v>Raphinha</x:v>
      </x:c>
      <x:c r="B1073" s="13" t="n">
        <x:v>2028</x:v>
      </x:c>
      <x:c r="C1073" s="13" t="str">
        <x:v>T4</x:v>
      </x:c>
      <x:c r="D1073" s="24" t="n">
        <x:v>47118</x:v>
      </x:c>
      <x:c r="E1073" s="13" t="str">
        <x:v>Ponta-esquerda</x:v>
      </x:c>
      <x:c r="F1073" s="13" t="str">
        <x:v>FC Barcelona</x:v>
      </x:c>
      <x:c r="G1073" s="16"/>
      <x:c r="H1073" s="16"/>
      <x:c r="I1073" s="16"/>
      <x:c r="J1073" s="16"/>
      <x:c r="K1073" s="16" t="str">
        <x:f>IF(COUNT(G1073,I1073)=0,"",AVERAGE(G1073,I1073))</x:f>
      </x:c>
      <x:c r="L1073" s="16" t="str">
        <x:f>IF(COUNT(H1073,J1073)=0,"",AVERAGE(H1073,J1073))</x:f>
      </x:c>
      <x:c r="M1073" s="16" t="str">
        <x:f>IF(OR(K1073="",L1073=""),"",L1073-K1073)</x:f>
      </x:c>
      <x:c r="N1073" s="16" t="str">
        <x:f>IF(AND(A1073=A1072,ISNUMBER(K1073),ISNUMBER(K1072)),K1073-K1072,"")</x:f>
      </x:c>
      <x:c r="O1073" s="13" t="str">
        <x:v>Sem informação</x:v>
      </x:c>
      <x:c r="P1073" s="26"/>
      <x:c r="Q1073" s="13" t="str"/>
      <x:c r="R1073" s="13" t="str"/>
      <x:c r="S1073" s="13" t="str"/>
      <x:c r="T1073" s="13" t="str"/>
    </x:row>
    <x:row r="1074">
      <x:c r="A1074" s="13" t="str">
        <x:v>Raphinha</x:v>
      </x:c>
      <x:c r="B1074" s="13" t="n">
        <x:v>2029</x:v>
      </x:c>
      <x:c r="C1074" s="13" t="str">
        <x:v>T1</x:v>
      </x:c>
      <x:c r="D1074" s="24" t="n">
        <x:v>47208</x:v>
      </x:c>
      <x:c r="E1074" s="13" t="str">
        <x:v>Ponta-esquerda</x:v>
      </x:c>
      <x:c r="F1074" s="13" t="str">
        <x:v>FC Barcelona</x:v>
      </x:c>
      <x:c r="G1074" s="16"/>
      <x:c r="H1074" s="16"/>
      <x:c r="I1074" s="16"/>
      <x:c r="J1074" s="16"/>
      <x:c r="K1074" s="16" t="str">
        <x:f>IF(COUNT(G1074,I1074)=0,"",AVERAGE(G1074,I1074))</x:f>
      </x:c>
      <x:c r="L1074" s="16" t="str">
        <x:f>IF(COUNT(H1074,J1074)=0,"",AVERAGE(H1074,J1074))</x:f>
      </x:c>
      <x:c r="M1074" s="16" t="str">
        <x:f>IF(OR(K1074="",L1074=""),"",L1074-K1074)</x:f>
      </x:c>
      <x:c r="N1074" s="16" t="str">
        <x:f>IF(AND(A1074=A1073,ISNUMBER(K1074),ISNUMBER(K1073)),K1074-K1073,"")</x:f>
      </x:c>
      <x:c r="O1074" s="13" t="str">
        <x:v>Sem informação</x:v>
      </x:c>
      <x:c r="P1074" s="26"/>
      <x:c r="Q1074" s="13" t="str"/>
      <x:c r="R1074" s="13" t="str"/>
      <x:c r="S1074" s="13" t="str"/>
      <x:c r="T1074" s="13" t="str"/>
    </x:row>
    <x:row r="1075">
      <x:c r="A1075" s="13" t="str">
        <x:v>Raphinha</x:v>
      </x:c>
      <x:c r="B1075" s="13" t="n">
        <x:v>2029</x:v>
      </x:c>
      <x:c r="C1075" s="13" t="str">
        <x:v>T2</x:v>
      </x:c>
      <x:c r="D1075" s="24" t="n">
        <x:v>47299</x:v>
      </x:c>
      <x:c r="E1075" s="13" t="str">
        <x:v>Ponta-esquerda</x:v>
      </x:c>
      <x:c r="F1075" s="13" t="str">
        <x:v>FC Barcelona</x:v>
      </x:c>
      <x:c r="G1075" s="16"/>
      <x:c r="H1075" s="16"/>
      <x:c r="I1075" s="16"/>
      <x:c r="J1075" s="16"/>
      <x:c r="K1075" s="16" t="str">
        <x:f>IF(COUNT(G1075,I1075)=0,"",AVERAGE(G1075,I1075))</x:f>
      </x:c>
      <x:c r="L1075" s="16" t="str">
        <x:f>IF(COUNT(H1075,J1075)=0,"",AVERAGE(H1075,J1075))</x:f>
      </x:c>
      <x:c r="M1075" s="16" t="str">
        <x:f>IF(OR(K1075="",L1075=""),"",L1075-K1075)</x:f>
      </x:c>
      <x:c r="N1075" s="16" t="str">
        <x:f>IF(AND(A1075=A1074,ISNUMBER(K1075),ISNUMBER(K1074)),K1075-K1074,"")</x:f>
      </x:c>
      <x:c r="O1075" s="13" t="str">
        <x:v>Sem informação</x:v>
      </x:c>
      <x:c r="P1075" s="26"/>
      <x:c r="Q1075" s="13" t="str"/>
      <x:c r="R1075" s="13" t="str"/>
      <x:c r="S1075" s="13" t="str"/>
      <x:c r="T1075" s="13" t="str"/>
    </x:row>
    <x:row r="1076">
      <x:c r="A1076" s="13" t="str">
        <x:v>Raphinha</x:v>
      </x:c>
      <x:c r="B1076" s="13" t="n">
        <x:v>2029</x:v>
      </x:c>
      <x:c r="C1076" s="13" t="str">
        <x:v>T3</x:v>
      </x:c>
      <x:c r="D1076" s="24" t="n">
        <x:v>47391</x:v>
      </x:c>
      <x:c r="E1076" s="13" t="str">
        <x:v>Ponta-esquerda</x:v>
      </x:c>
      <x:c r="F1076" s="13" t="str">
        <x:v>FC Barcelona</x:v>
      </x:c>
      <x:c r="G1076" s="16"/>
      <x:c r="H1076" s="16"/>
      <x:c r="I1076" s="16"/>
      <x:c r="J1076" s="16"/>
      <x:c r="K1076" s="16" t="str">
        <x:f>IF(COUNT(G1076,I1076)=0,"",AVERAGE(G1076,I1076))</x:f>
      </x:c>
      <x:c r="L1076" s="16" t="str">
        <x:f>IF(COUNT(H1076,J1076)=0,"",AVERAGE(H1076,J1076))</x:f>
      </x:c>
      <x:c r="M1076" s="16" t="str">
        <x:f>IF(OR(K1076="",L1076=""),"",L1076-K1076)</x:f>
      </x:c>
      <x:c r="N1076" s="16" t="str">
        <x:f>IF(AND(A1076=A1075,ISNUMBER(K1076),ISNUMBER(K1075)),K1076-K1075,"")</x:f>
      </x:c>
      <x:c r="O1076" s="13" t="str">
        <x:v>Sem informação</x:v>
      </x:c>
      <x:c r="P1076" s="26"/>
      <x:c r="Q1076" s="13" t="str"/>
      <x:c r="R1076" s="13" t="str"/>
      <x:c r="S1076" s="13" t="str"/>
      <x:c r="T1076" s="13" t="str"/>
    </x:row>
    <x:row r="1077">
      <x:c r="A1077" s="13" t="str">
        <x:v>Raphinha</x:v>
      </x:c>
      <x:c r="B1077" s="13" t="n">
        <x:v>2029</x:v>
      </x:c>
      <x:c r="C1077" s="13" t="str">
        <x:v>T4</x:v>
      </x:c>
      <x:c r="D1077" s="24" t="n">
        <x:v>47483</x:v>
      </x:c>
      <x:c r="E1077" s="13" t="str">
        <x:v>Ponta-esquerda</x:v>
      </x:c>
      <x:c r="F1077" s="13" t="str">
        <x:v>FC Barcelona</x:v>
      </x:c>
      <x:c r="G1077" s="16"/>
      <x:c r="H1077" s="16"/>
      <x:c r="I1077" s="16"/>
      <x:c r="J1077" s="16"/>
      <x:c r="K1077" s="16" t="str">
        <x:f>IF(COUNT(G1077,I1077)=0,"",AVERAGE(G1077,I1077))</x:f>
      </x:c>
      <x:c r="L1077" s="16" t="str">
        <x:f>IF(COUNT(H1077,J1077)=0,"",AVERAGE(H1077,J1077))</x:f>
      </x:c>
      <x:c r="M1077" s="16" t="str">
        <x:f>IF(OR(K1077="",L1077=""),"",L1077-K1077)</x:f>
      </x:c>
      <x:c r="N1077" s="16" t="str">
        <x:f>IF(AND(A1077=A1076,ISNUMBER(K1077),ISNUMBER(K1076)),K1077-K1076,"")</x:f>
      </x:c>
      <x:c r="O1077" s="13" t="str">
        <x:v>Sem informação</x:v>
      </x:c>
      <x:c r="P1077" s="26"/>
      <x:c r="Q1077" s="13" t="str"/>
      <x:c r="R1077" s="13" t="str"/>
      <x:c r="S1077" s="13" t="str"/>
      <x:c r="T1077" s="13" t="str"/>
    </x:row>
    <x:row r="1078">
      <x:c r="A1078" s="13" t="str">
        <x:v>Raphinha</x:v>
      </x:c>
      <x:c r="B1078" s="13" t="n">
        <x:v>2030</x:v>
      </x:c>
      <x:c r="C1078" s="13" t="str">
        <x:v>T1</x:v>
      </x:c>
      <x:c r="D1078" s="24" t="n">
        <x:v>47573</x:v>
      </x:c>
      <x:c r="E1078" s="13" t="str">
        <x:v>Ponta-esquerda</x:v>
      </x:c>
      <x:c r="F1078" s="13" t="str">
        <x:v>FC Barcelona</x:v>
      </x:c>
      <x:c r="G1078" s="16"/>
      <x:c r="H1078" s="16"/>
      <x:c r="I1078" s="16"/>
      <x:c r="J1078" s="16"/>
      <x:c r="K1078" s="16" t="str">
        <x:f>IF(COUNT(G1078,I1078)=0,"",AVERAGE(G1078,I1078))</x:f>
      </x:c>
      <x:c r="L1078" s="16" t="str">
        <x:f>IF(COUNT(H1078,J1078)=0,"",AVERAGE(H1078,J1078))</x:f>
      </x:c>
      <x:c r="M1078" s="16" t="str">
        <x:f>IF(OR(K1078="",L1078=""),"",L1078-K1078)</x:f>
      </x:c>
      <x:c r="N1078" s="16" t="str">
        <x:f>IF(AND(A1078=A1077,ISNUMBER(K1078),ISNUMBER(K1077)),K1078-K1077,"")</x:f>
      </x:c>
      <x:c r="O1078" s="13" t="str">
        <x:v>Sem informação</x:v>
      </x:c>
      <x:c r="P1078" s="26"/>
      <x:c r="Q1078" s="13" t="str"/>
      <x:c r="R1078" s="13" t="str"/>
      <x:c r="S1078" s="13" t="str"/>
      <x:c r="T1078" s="13" t="str"/>
    </x:row>
    <x:row r="1079">
      <x:c r="A1079" s="13" t="str">
        <x:v>Raphinha</x:v>
      </x:c>
      <x:c r="B1079" s="13" t="n">
        <x:v>2030</x:v>
      </x:c>
      <x:c r="C1079" s="13" t="str">
        <x:v>T2</x:v>
      </x:c>
      <x:c r="D1079" s="24" t="n">
        <x:v>47664</x:v>
      </x:c>
      <x:c r="E1079" s="13" t="str">
        <x:v>Ponta-esquerda</x:v>
      </x:c>
      <x:c r="F1079" s="13" t="str">
        <x:v>FC Barcelona</x:v>
      </x:c>
      <x:c r="G1079" s="16"/>
      <x:c r="H1079" s="16"/>
      <x:c r="I1079" s="16"/>
      <x:c r="J1079" s="16"/>
      <x:c r="K1079" s="16" t="str">
        <x:f>IF(COUNT(G1079,I1079)=0,"",AVERAGE(G1079,I1079))</x:f>
      </x:c>
      <x:c r="L1079" s="16" t="str">
        <x:f>IF(COUNT(H1079,J1079)=0,"",AVERAGE(H1079,J1079))</x:f>
      </x:c>
      <x:c r="M1079" s="16" t="str">
        <x:f>IF(OR(K1079="",L1079=""),"",L1079-K1079)</x:f>
      </x:c>
      <x:c r="N1079" s="16" t="str">
        <x:f>IF(AND(A1079=A1078,ISNUMBER(K1079),ISNUMBER(K1078)),K1079-K1078,"")</x:f>
      </x:c>
      <x:c r="O1079" s="13" t="str">
        <x:v>Sem informação</x:v>
      </x:c>
      <x:c r="P1079" s="26"/>
      <x:c r="Q1079" s="13" t="str"/>
      <x:c r="R1079" s="13" t="str"/>
      <x:c r="S1079" s="13" t="str"/>
      <x:c r="T1079" s="13" t="str"/>
    </x:row>
    <x:row r="1080">
      <x:c r="A1080" s="13" t="str">
        <x:v>Raphinha</x:v>
      </x:c>
      <x:c r="B1080" s="13" t="n">
        <x:v>2030</x:v>
      </x:c>
      <x:c r="C1080" s="13" t="str">
        <x:v>T3</x:v>
      </x:c>
      <x:c r="D1080" s="24" t="n">
        <x:v>47756</x:v>
      </x:c>
      <x:c r="E1080" s="13" t="str">
        <x:v>Ponta-esquerda</x:v>
      </x:c>
      <x:c r="F1080" s="13" t="str">
        <x:v>FC Barcelona</x:v>
      </x:c>
      <x:c r="G1080" s="16"/>
      <x:c r="H1080" s="16"/>
      <x:c r="I1080" s="16"/>
      <x:c r="J1080" s="16"/>
      <x:c r="K1080" s="16" t="str">
        <x:f>IF(COUNT(G1080,I1080)=0,"",AVERAGE(G1080,I1080))</x:f>
      </x:c>
      <x:c r="L1080" s="16" t="str">
        <x:f>IF(COUNT(H1080,J1080)=0,"",AVERAGE(H1080,J1080))</x:f>
      </x:c>
      <x:c r="M1080" s="16" t="str">
        <x:f>IF(OR(K1080="",L1080=""),"",L1080-K1080)</x:f>
      </x:c>
      <x:c r="N1080" s="16" t="str">
        <x:f>IF(AND(A1080=A1079,ISNUMBER(K1080),ISNUMBER(K1079)),K1080-K1079,"")</x:f>
      </x:c>
      <x:c r="O1080" s="13" t="str">
        <x:v>Sem informação</x:v>
      </x:c>
      <x:c r="P1080" s="26"/>
      <x:c r="Q1080" s="13" t="str"/>
      <x:c r="R1080" s="13" t="str"/>
      <x:c r="S1080" s="13" t="str"/>
      <x:c r="T1080" s="13" t="str"/>
    </x:row>
    <x:row r="1081">
      <x:c r="A1081" s="13" t="str">
        <x:v>Raphinha</x:v>
      </x:c>
      <x:c r="B1081" s="13" t="n">
        <x:v>2030</x:v>
      </x:c>
      <x:c r="C1081" s="13" t="str">
        <x:v>T4</x:v>
      </x:c>
      <x:c r="D1081" s="24" t="n">
        <x:v>47848</x:v>
      </x:c>
      <x:c r="E1081" s="13" t="str">
        <x:v>Ponta-esquerda</x:v>
      </x:c>
      <x:c r="F1081" s="13" t="str">
        <x:v>FC Barcelona</x:v>
      </x:c>
      <x:c r="G1081" s="16"/>
      <x:c r="H1081" s="16"/>
      <x:c r="I1081" s="16"/>
      <x:c r="J1081" s="16"/>
      <x:c r="K1081" s="16" t="str">
        <x:f>IF(COUNT(G1081,I1081)=0,"",AVERAGE(G1081,I1081))</x:f>
      </x:c>
      <x:c r="L1081" s="16" t="str">
        <x:f>IF(COUNT(H1081,J1081)=0,"",AVERAGE(H1081,J1081))</x:f>
      </x:c>
      <x:c r="M1081" s="16" t="str">
        <x:f>IF(OR(K1081="",L1081=""),"",L1081-K1081)</x:f>
      </x:c>
      <x:c r="N1081" s="16" t="str">
        <x:f>IF(AND(A1081=A1080,ISNUMBER(K1081),ISNUMBER(K1080)),K1081-K1080,"")</x:f>
      </x:c>
      <x:c r="O1081" s="13" t="str">
        <x:v>Sem informação</x:v>
      </x:c>
      <x:c r="P1081" s="26"/>
      <x:c r="Q1081" s="13" t="str"/>
      <x:c r="R1081" s="13" t="str"/>
      <x:c r="S1081" s="13" t="str"/>
      <x:c r="T1081" s="13" t="str"/>
    </x:row>
    <x:row r="1082">
      <x:c r="A1082" s="13" t="str">
        <x:v>Rayan</x:v>
      </x:c>
      <x:c r="B1082" s="13" t="n">
        <x:v>2026</x:v>
      </x:c>
      <x:c r="C1082" s="13" t="str">
        <x:v>T1</x:v>
      </x:c>
      <x:c r="D1082" s="24" t="n">
        <x:v>46112</x:v>
      </x:c>
      <x:c r="E1082" s="13" t="str">
        <x:v>Ponta-direita</x:v>
      </x:c>
      <x:c r="F1082" s="13" t="str">
        <x:v>AFC Bournemouth</x:v>
      </x:c>
      <x:c r="G1082" s="16"/>
      <x:c r="H1082" s="16"/>
      <x:c r="I1082" s="16"/>
      <x:c r="J1082" s="16"/>
      <x:c r="K1082" s="16" t="str">
        <x:f>IF(COUNT(G1082,I1082)=0,"",AVERAGE(G1082,I1082))</x:f>
      </x:c>
      <x:c r="L1082" s="16" t="str">
        <x:f>IF(COUNT(H1082,J1082)=0,"",AVERAGE(H1082,J1082))</x:f>
      </x:c>
      <x:c r="M1082" s="16" t="str">
        <x:f>IF(OR(K1082="",L1082=""),"",L1082-K1082)</x:f>
      </x:c>
      <x:c r="N1082" s="16" t="str">
        <x:f>""</x:f>
      </x:c>
      <x:c r="O1082" s="13" t="str">
        <x:v>Sem informação</x:v>
      </x:c>
      <x:c r="P1082" s="26"/>
      <x:c r="Q1082" s="13" t="str"/>
      <x:c r="R1082" s="13" t="str"/>
      <x:c r="S1082" s="13" t="str"/>
      <x:c r="T1082" s="13" t="str"/>
    </x:row>
    <x:row r="1083">
      <x:c r="A1083" s="13" t="str">
        <x:v>Rayan</x:v>
      </x:c>
      <x:c r="B1083" s="13" t="n">
        <x:v>2026</x:v>
      </x:c>
      <x:c r="C1083" s="13" t="str">
        <x:v>T2</x:v>
      </x:c>
      <x:c r="D1083" s="24" t="n">
        <x:v>46203</x:v>
      </x:c>
      <x:c r="E1083" s="13" t="str">
        <x:v>Ponta-direita</x:v>
      </x:c>
      <x:c r="F1083" s="13" t="str">
        <x:v>AFC Bournemouth</x:v>
      </x:c>
      <x:c r="G1083" s="16"/>
      <x:c r="H1083" s="16"/>
      <x:c r="I1083" s="16"/>
      <x:c r="J1083" s="16"/>
      <x:c r="K1083" s="16" t="str">
        <x:f>IF(COUNT(G1083,I1083)=0,"",AVERAGE(G1083,I1083))</x:f>
      </x:c>
      <x:c r="L1083" s="16" t="str">
        <x:f>IF(COUNT(H1083,J1083)=0,"",AVERAGE(H1083,J1083))</x:f>
      </x:c>
      <x:c r="M1083" s="16" t="str">
        <x:f>IF(OR(K1083="",L1083=""),"",L1083-K1083)</x:f>
      </x:c>
      <x:c r="N1083" s="16" t="str">
        <x:f>IF(AND(A1083=A1082,ISNUMBER(K1083),ISNUMBER(K1082)),K1083-K1082,"")</x:f>
      </x:c>
      <x:c r="O1083" s="13" t="str">
        <x:v>Sem informação</x:v>
      </x:c>
      <x:c r="P1083" s="26"/>
      <x:c r="Q1083" s="13" t="str"/>
      <x:c r="R1083" s="13" t="str"/>
      <x:c r="S1083" s="13" t="str"/>
      <x:c r="T1083" s="13" t="str"/>
    </x:row>
    <x:row r="1084">
      <x:c r="A1084" s="13" t="str">
        <x:v>Rayan</x:v>
      </x:c>
      <x:c r="B1084" s="13" t="n">
        <x:v>2026</x:v>
      </x:c>
      <x:c r="C1084" s="13" t="str">
        <x:v>T3</x:v>
      </x:c>
      <x:c r="D1084" s="24" t="n">
        <x:v>46295</x:v>
      </x:c>
      <x:c r="E1084" s="13" t="str">
        <x:v>Ponta-direita</x:v>
      </x:c>
      <x:c r="F1084" s="13" t="str">
        <x:v>AFC Bournemouth</x:v>
      </x:c>
      <x:c r="G1084" s="16"/>
      <x:c r="H1084" s="16"/>
      <x:c r="I1084" s="16"/>
      <x:c r="J1084" s="16"/>
      <x:c r="K1084" s="16" t="str">
        <x:f>IF(COUNT(G1084,I1084)=0,"",AVERAGE(G1084,I1084))</x:f>
      </x:c>
      <x:c r="L1084" s="16" t="str">
        <x:f>IF(COUNT(H1084,J1084)=0,"",AVERAGE(H1084,J1084))</x:f>
      </x:c>
      <x:c r="M1084" s="16" t="str">
        <x:f>IF(OR(K1084="",L1084=""),"",L1084-K1084)</x:f>
      </x:c>
      <x:c r="N1084" s="16" t="str">
        <x:f>IF(AND(A1084=A1083,ISNUMBER(K1084),ISNUMBER(K1083)),K1084-K1083,"")</x:f>
      </x:c>
      <x:c r="O1084" s="13" t="str">
        <x:v>Sem informação</x:v>
      </x:c>
      <x:c r="P1084" s="26"/>
      <x:c r="Q1084" s="13" t="str"/>
      <x:c r="R1084" s="13" t="str"/>
      <x:c r="S1084" s="13" t="str"/>
      <x:c r="T1084" s="13" t="str"/>
    </x:row>
    <x:row r="1085">
      <x:c r="A1085" s="13" t="str">
        <x:v>Rayan</x:v>
      </x:c>
      <x:c r="B1085" s="13" t="n">
        <x:v>2026</x:v>
      </x:c>
      <x:c r="C1085" s="13" t="str">
        <x:v>T4</x:v>
      </x:c>
      <x:c r="D1085" s="24" t="n">
        <x:v>46387</x:v>
      </x:c>
      <x:c r="E1085" s="13" t="str">
        <x:v>Ponta-direita</x:v>
      </x:c>
      <x:c r="F1085" s="13" t="str">
        <x:v>AFC Bournemouth</x:v>
      </x:c>
      <x:c r="G1085" s="16"/>
      <x:c r="H1085" s="16"/>
      <x:c r="I1085" s="16"/>
      <x:c r="J1085" s="16"/>
      <x:c r="K1085" s="16" t="str">
        <x:f>IF(COUNT(G1085,I1085)=0,"",AVERAGE(G1085,I1085))</x:f>
      </x:c>
      <x:c r="L1085" s="16" t="str">
        <x:f>IF(COUNT(H1085,J1085)=0,"",AVERAGE(H1085,J1085))</x:f>
      </x:c>
      <x:c r="M1085" s="16" t="str">
        <x:f>IF(OR(K1085="",L1085=""),"",L1085-K1085)</x:f>
      </x:c>
      <x:c r="N1085" s="16" t="str">
        <x:f>IF(AND(A1085=A1084,ISNUMBER(K1085),ISNUMBER(K1084)),K1085-K1084,"")</x:f>
      </x:c>
      <x:c r="O1085" s="13" t="str">
        <x:v>Sem informação</x:v>
      </x:c>
      <x:c r="P1085" s="26"/>
      <x:c r="Q1085" s="13" t="str"/>
      <x:c r="R1085" s="13" t="str"/>
      <x:c r="S1085" s="13" t="str"/>
      <x:c r="T1085" s="13" t="str"/>
    </x:row>
    <x:row r="1086">
      <x:c r="A1086" s="13" t="str">
        <x:v>Rayan</x:v>
      </x:c>
      <x:c r="B1086" s="13" t="n">
        <x:v>2027</x:v>
      </x:c>
      <x:c r="C1086" s="13" t="str">
        <x:v>T1</x:v>
      </x:c>
      <x:c r="D1086" s="24" t="n">
        <x:v>46477</x:v>
      </x:c>
      <x:c r="E1086" s="13" t="str">
        <x:v>Ponta-direita</x:v>
      </x:c>
      <x:c r="F1086" s="13" t="str">
        <x:v>AFC Bournemouth</x:v>
      </x:c>
      <x:c r="G1086" s="16"/>
      <x:c r="H1086" s="16"/>
      <x:c r="I1086" s="16"/>
      <x:c r="J1086" s="16"/>
      <x:c r="K1086" s="16" t="str">
        <x:f>IF(COUNT(G1086,I1086)=0,"",AVERAGE(G1086,I1086))</x:f>
      </x:c>
      <x:c r="L1086" s="16" t="str">
        <x:f>IF(COUNT(H1086,J1086)=0,"",AVERAGE(H1086,J1086))</x:f>
      </x:c>
      <x:c r="M1086" s="16" t="str">
        <x:f>IF(OR(K1086="",L1086=""),"",L1086-K1086)</x:f>
      </x:c>
      <x:c r="N1086" s="16" t="str">
        <x:f>IF(AND(A1086=A1085,ISNUMBER(K1086),ISNUMBER(K1085)),K1086-K1085,"")</x:f>
      </x:c>
      <x:c r="O1086" s="13" t="str">
        <x:v>Sem informação</x:v>
      </x:c>
      <x:c r="P1086" s="26"/>
      <x:c r="Q1086" s="13" t="str"/>
      <x:c r="R1086" s="13" t="str"/>
      <x:c r="S1086" s="13" t="str"/>
      <x:c r="T1086" s="13" t="str"/>
    </x:row>
    <x:row r="1087">
      <x:c r="A1087" s="13" t="str">
        <x:v>Rayan</x:v>
      </x:c>
      <x:c r="B1087" s="13" t="n">
        <x:v>2027</x:v>
      </x:c>
      <x:c r="C1087" s="13" t="str">
        <x:v>T2</x:v>
      </x:c>
      <x:c r="D1087" s="24" t="n">
        <x:v>46568</x:v>
      </x:c>
      <x:c r="E1087" s="13" t="str">
        <x:v>Ponta-direita</x:v>
      </x:c>
      <x:c r="F1087" s="13" t="str">
        <x:v>AFC Bournemouth</x:v>
      </x:c>
      <x:c r="G1087" s="16"/>
      <x:c r="H1087" s="16"/>
      <x:c r="I1087" s="16"/>
      <x:c r="J1087" s="16"/>
      <x:c r="K1087" s="16" t="str">
        <x:f>IF(COUNT(G1087,I1087)=0,"",AVERAGE(G1087,I1087))</x:f>
      </x:c>
      <x:c r="L1087" s="16" t="str">
        <x:f>IF(COUNT(H1087,J1087)=0,"",AVERAGE(H1087,J1087))</x:f>
      </x:c>
      <x:c r="M1087" s="16" t="str">
        <x:f>IF(OR(K1087="",L1087=""),"",L1087-K1087)</x:f>
      </x:c>
      <x:c r="N1087" s="16" t="str">
        <x:f>IF(AND(A1087=A1086,ISNUMBER(K1087),ISNUMBER(K1086)),K1087-K1086,"")</x:f>
      </x:c>
      <x:c r="O1087" s="13" t="str">
        <x:v>Sem informação</x:v>
      </x:c>
      <x:c r="P1087" s="26"/>
      <x:c r="Q1087" s="13" t="str"/>
      <x:c r="R1087" s="13" t="str"/>
      <x:c r="S1087" s="13" t="str"/>
      <x:c r="T1087" s="13" t="str"/>
    </x:row>
    <x:row r="1088">
      <x:c r="A1088" s="13" t="str">
        <x:v>Rayan</x:v>
      </x:c>
      <x:c r="B1088" s="13" t="n">
        <x:v>2027</x:v>
      </x:c>
      <x:c r="C1088" s="13" t="str">
        <x:v>T3</x:v>
      </x:c>
      <x:c r="D1088" s="24" t="n">
        <x:v>46660</x:v>
      </x:c>
      <x:c r="E1088" s="13" t="str">
        <x:v>Ponta-direita</x:v>
      </x:c>
      <x:c r="F1088" s="13" t="str">
        <x:v>AFC Bournemouth</x:v>
      </x:c>
      <x:c r="G1088" s="16"/>
      <x:c r="H1088" s="16"/>
      <x:c r="I1088" s="16"/>
      <x:c r="J1088" s="16"/>
      <x:c r="K1088" s="16" t="str">
        <x:f>IF(COUNT(G1088,I1088)=0,"",AVERAGE(G1088,I1088))</x:f>
      </x:c>
      <x:c r="L1088" s="16" t="str">
        <x:f>IF(COUNT(H1088,J1088)=0,"",AVERAGE(H1088,J1088))</x:f>
      </x:c>
      <x:c r="M1088" s="16" t="str">
        <x:f>IF(OR(K1088="",L1088=""),"",L1088-K1088)</x:f>
      </x:c>
      <x:c r="N1088" s="16" t="str">
        <x:f>IF(AND(A1088=A1087,ISNUMBER(K1088),ISNUMBER(K1087)),K1088-K1087,"")</x:f>
      </x:c>
      <x:c r="O1088" s="13" t="str">
        <x:v>Sem informação</x:v>
      </x:c>
      <x:c r="P1088" s="26"/>
      <x:c r="Q1088" s="13" t="str"/>
      <x:c r="R1088" s="13" t="str"/>
      <x:c r="S1088" s="13" t="str"/>
      <x:c r="T1088" s="13" t="str"/>
    </x:row>
    <x:row r="1089">
      <x:c r="A1089" s="13" t="str">
        <x:v>Rayan</x:v>
      </x:c>
      <x:c r="B1089" s="13" t="n">
        <x:v>2027</x:v>
      </x:c>
      <x:c r="C1089" s="13" t="str">
        <x:v>T4</x:v>
      </x:c>
      <x:c r="D1089" s="24" t="n">
        <x:v>46752</x:v>
      </x:c>
      <x:c r="E1089" s="13" t="str">
        <x:v>Ponta-direita</x:v>
      </x:c>
      <x:c r="F1089" s="13" t="str">
        <x:v>AFC Bournemouth</x:v>
      </x:c>
      <x:c r="G1089" s="16"/>
      <x:c r="H1089" s="16"/>
      <x:c r="I1089" s="16"/>
      <x:c r="J1089" s="16"/>
      <x:c r="K1089" s="16" t="str">
        <x:f>IF(COUNT(G1089,I1089)=0,"",AVERAGE(G1089,I1089))</x:f>
      </x:c>
      <x:c r="L1089" s="16" t="str">
        <x:f>IF(COUNT(H1089,J1089)=0,"",AVERAGE(H1089,J1089))</x:f>
      </x:c>
      <x:c r="M1089" s="16" t="str">
        <x:f>IF(OR(K1089="",L1089=""),"",L1089-K1089)</x:f>
      </x:c>
      <x:c r="N1089" s="16" t="str">
        <x:f>IF(AND(A1089=A1088,ISNUMBER(K1089),ISNUMBER(K1088)),K1089-K1088,"")</x:f>
      </x:c>
      <x:c r="O1089" s="13" t="str">
        <x:v>Sem informação</x:v>
      </x:c>
      <x:c r="P1089" s="26"/>
      <x:c r="Q1089" s="13" t="str"/>
      <x:c r="R1089" s="13" t="str"/>
      <x:c r="S1089" s="13" t="str"/>
      <x:c r="T1089" s="13" t="str"/>
    </x:row>
    <x:row r="1090">
      <x:c r="A1090" s="13" t="str">
        <x:v>Rayan</x:v>
      </x:c>
      <x:c r="B1090" s="13" t="n">
        <x:v>2028</x:v>
      </x:c>
      <x:c r="C1090" s="13" t="str">
        <x:v>T1</x:v>
      </x:c>
      <x:c r="D1090" s="24" t="n">
        <x:v>46843</x:v>
      </x:c>
      <x:c r="E1090" s="13" t="str">
        <x:v>Ponta-direita</x:v>
      </x:c>
      <x:c r="F1090" s="13" t="str">
        <x:v>AFC Bournemouth</x:v>
      </x:c>
      <x:c r="G1090" s="16"/>
      <x:c r="H1090" s="16"/>
      <x:c r="I1090" s="16"/>
      <x:c r="J1090" s="16"/>
      <x:c r="K1090" s="16" t="str">
        <x:f>IF(COUNT(G1090,I1090)=0,"",AVERAGE(G1090,I1090))</x:f>
      </x:c>
      <x:c r="L1090" s="16" t="str">
        <x:f>IF(COUNT(H1090,J1090)=0,"",AVERAGE(H1090,J1090))</x:f>
      </x:c>
      <x:c r="M1090" s="16" t="str">
        <x:f>IF(OR(K1090="",L1090=""),"",L1090-K1090)</x:f>
      </x:c>
      <x:c r="N1090" s="16" t="str">
        <x:f>IF(AND(A1090=A1089,ISNUMBER(K1090),ISNUMBER(K1089)),K1090-K1089,"")</x:f>
      </x:c>
      <x:c r="O1090" s="13" t="str">
        <x:v>Sem informação</x:v>
      </x:c>
      <x:c r="P1090" s="26"/>
      <x:c r="Q1090" s="13" t="str"/>
      <x:c r="R1090" s="13" t="str"/>
      <x:c r="S1090" s="13" t="str"/>
      <x:c r="T1090" s="13" t="str"/>
    </x:row>
    <x:row r="1091">
      <x:c r="A1091" s="13" t="str">
        <x:v>Rayan</x:v>
      </x:c>
      <x:c r="B1091" s="13" t="n">
        <x:v>2028</x:v>
      </x:c>
      <x:c r="C1091" s="13" t="str">
        <x:v>T2</x:v>
      </x:c>
      <x:c r="D1091" s="24" t="n">
        <x:v>46934</x:v>
      </x:c>
      <x:c r="E1091" s="13" t="str">
        <x:v>Ponta-direita</x:v>
      </x:c>
      <x:c r="F1091" s="13" t="str">
        <x:v>AFC Bournemouth</x:v>
      </x:c>
      <x:c r="G1091" s="16"/>
      <x:c r="H1091" s="16"/>
      <x:c r="I1091" s="16"/>
      <x:c r="J1091" s="16"/>
      <x:c r="K1091" s="16" t="str">
        <x:f>IF(COUNT(G1091,I1091)=0,"",AVERAGE(G1091,I1091))</x:f>
      </x:c>
      <x:c r="L1091" s="16" t="str">
        <x:f>IF(COUNT(H1091,J1091)=0,"",AVERAGE(H1091,J1091))</x:f>
      </x:c>
      <x:c r="M1091" s="16" t="str">
        <x:f>IF(OR(K1091="",L1091=""),"",L1091-K1091)</x:f>
      </x:c>
      <x:c r="N1091" s="16" t="str">
        <x:f>IF(AND(A1091=A1090,ISNUMBER(K1091),ISNUMBER(K1090)),K1091-K1090,"")</x:f>
      </x:c>
      <x:c r="O1091" s="13" t="str">
        <x:v>Sem informação</x:v>
      </x:c>
      <x:c r="P1091" s="26"/>
      <x:c r="Q1091" s="13" t="str"/>
      <x:c r="R1091" s="13" t="str"/>
      <x:c r="S1091" s="13" t="str"/>
      <x:c r="T1091" s="13" t="str"/>
    </x:row>
    <x:row r="1092">
      <x:c r="A1092" s="13" t="str">
        <x:v>Rayan</x:v>
      </x:c>
      <x:c r="B1092" s="13" t="n">
        <x:v>2028</x:v>
      </x:c>
      <x:c r="C1092" s="13" t="str">
        <x:v>T3</x:v>
      </x:c>
      <x:c r="D1092" s="24" t="n">
        <x:v>47026</x:v>
      </x:c>
      <x:c r="E1092" s="13" t="str">
        <x:v>Ponta-direita</x:v>
      </x:c>
      <x:c r="F1092" s="13" t="str">
        <x:v>AFC Bournemouth</x:v>
      </x:c>
      <x:c r="G1092" s="16"/>
      <x:c r="H1092" s="16"/>
      <x:c r="I1092" s="16"/>
      <x:c r="J1092" s="16"/>
      <x:c r="K1092" s="16" t="str">
        <x:f>IF(COUNT(G1092,I1092)=0,"",AVERAGE(G1092,I1092))</x:f>
      </x:c>
      <x:c r="L1092" s="16" t="str">
        <x:f>IF(COUNT(H1092,J1092)=0,"",AVERAGE(H1092,J1092))</x:f>
      </x:c>
      <x:c r="M1092" s="16" t="str">
        <x:f>IF(OR(K1092="",L1092=""),"",L1092-K1092)</x:f>
      </x:c>
      <x:c r="N1092" s="16" t="str">
        <x:f>IF(AND(A1092=A1091,ISNUMBER(K1092),ISNUMBER(K1091)),K1092-K1091,"")</x:f>
      </x:c>
      <x:c r="O1092" s="13" t="str">
        <x:v>Sem informação</x:v>
      </x:c>
      <x:c r="P1092" s="26"/>
      <x:c r="Q1092" s="13" t="str"/>
      <x:c r="R1092" s="13" t="str"/>
      <x:c r="S1092" s="13" t="str"/>
      <x:c r="T1092" s="13" t="str"/>
    </x:row>
    <x:row r="1093">
      <x:c r="A1093" s="13" t="str">
        <x:v>Rayan</x:v>
      </x:c>
      <x:c r="B1093" s="13" t="n">
        <x:v>2028</x:v>
      </x:c>
      <x:c r="C1093" s="13" t="str">
        <x:v>T4</x:v>
      </x:c>
      <x:c r="D1093" s="24" t="n">
        <x:v>47118</x:v>
      </x:c>
      <x:c r="E1093" s="13" t="str">
        <x:v>Ponta-direita</x:v>
      </x:c>
      <x:c r="F1093" s="13" t="str">
        <x:v>AFC Bournemouth</x:v>
      </x:c>
      <x:c r="G1093" s="16"/>
      <x:c r="H1093" s="16"/>
      <x:c r="I1093" s="16"/>
      <x:c r="J1093" s="16"/>
      <x:c r="K1093" s="16" t="str">
        <x:f>IF(COUNT(G1093,I1093)=0,"",AVERAGE(G1093,I1093))</x:f>
      </x:c>
      <x:c r="L1093" s="16" t="str">
        <x:f>IF(COUNT(H1093,J1093)=0,"",AVERAGE(H1093,J1093))</x:f>
      </x:c>
      <x:c r="M1093" s="16" t="str">
        <x:f>IF(OR(K1093="",L1093=""),"",L1093-K1093)</x:f>
      </x:c>
      <x:c r="N1093" s="16" t="str">
        <x:f>IF(AND(A1093=A1092,ISNUMBER(K1093),ISNUMBER(K1092)),K1093-K1092,"")</x:f>
      </x:c>
      <x:c r="O1093" s="13" t="str">
        <x:v>Sem informação</x:v>
      </x:c>
      <x:c r="P1093" s="26"/>
      <x:c r="Q1093" s="13" t="str"/>
      <x:c r="R1093" s="13" t="str"/>
      <x:c r="S1093" s="13" t="str"/>
      <x:c r="T1093" s="13" t="str"/>
    </x:row>
    <x:row r="1094">
      <x:c r="A1094" s="13" t="str">
        <x:v>Rayan</x:v>
      </x:c>
      <x:c r="B1094" s="13" t="n">
        <x:v>2029</x:v>
      </x:c>
      <x:c r="C1094" s="13" t="str">
        <x:v>T1</x:v>
      </x:c>
      <x:c r="D1094" s="24" t="n">
        <x:v>47208</x:v>
      </x:c>
      <x:c r="E1094" s="13" t="str">
        <x:v>Ponta-direita</x:v>
      </x:c>
      <x:c r="F1094" s="13" t="str">
        <x:v>AFC Bournemouth</x:v>
      </x:c>
      <x:c r="G1094" s="16"/>
      <x:c r="H1094" s="16"/>
      <x:c r="I1094" s="16"/>
      <x:c r="J1094" s="16"/>
      <x:c r="K1094" s="16" t="str">
        <x:f>IF(COUNT(G1094,I1094)=0,"",AVERAGE(G1094,I1094))</x:f>
      </x:c>
      <x:c r="L1094" s="16" t="str">
        <x:f>IF(COUNT(H1094,J1094)=0,"",AVERAGE(H1094,J1094))</x:f>
      </x:c>
      <x:c r="M1094" s="16" t="str">
        <x:f>IF(OR(K1094="",L1094=""),"",L1094-K1094)</x:f>
      </x:c>
      <x:c r="N1094" s="16" t="str">
        <x:f>IF(AND(A1094=A1093,ISNUMBER(K1094),ISNUMBER(K1093)),K1094-K1093,"")</x:f>
      </x:c>
      <x:c r="O1094" s="13" t="str">
        <x:v>Sem informação</x:v>
      </x:c>
      <x:c r="P1094" s="26"/>
      <x:c r="Q1094" s="13" t="str"/>
      <x:c r="R1094" s="13" t="str"/>
      <x:c r="S1094" s="13" t="str"/>
      <x:c r="T1094" s="13" t="str"/>
    </x:row>
    <x:row r="1095">
      <x:c r="A1095" s="13" t="str">
        <x:v>Rayan</x:v>
      </x:c>
      <x:c r="B1095" s="13" t="n">
        <x:v>2029</x:v>
      </x:c>
      <x:c r="C1095" s="13" t="str">
        <x:v>T2</x:v>
      </x:c>
      <x:c r="D1095" s="24" t="n">
        <x:v>47299</x:v>
      </x:c>
      <x:c r="E1095" s="13" t="str">
        <x:v>Ponta-direita</x:v>
      </x:c>
      <x:c r="F1095" s="13" t="str">
        <x:v>AFC Bournemouth</x:v>
      </x:c>
      <x:c r="G1095" s="16"/>
      <x:c r="H1095" s="16"/>
      <x:c r="I1095" s="16"/>
      <x:c r="J1095" s="16"/>
      <x:c r="K1095" s="16" t="str">
        <x:f>IF(COUNT(G1095,I1095)=0,"",AVERAGE(G1095,I1095))</x:f>
      </x:c>
      <x:c r="L1095" s="16" t="str">
        <x:f>IF(COUNT(H1095,J1095)=0,"",AVERAGE(H1095,J1095))</x:f>
      </x:c>
      <x:c r="M1095" s="16" t="str">
        <x:f>IF(OR(K1095="",L1095=""),"",L1095-K1095)</x:f>
      </x:c>
      <x:c r="N1095" s="16" t="str">
        <x:f>IF(AND(A1095=A1094,ISNUMBER(K1095),ISNUMBER(K1094)),K1095-K1094,"")</x:f>
      </x:c>
      <x:c r="O1095" s="13" t="str">
        <x:v>Sem informação</x:v>
      </x:c>
      <x:c r="P1095" s="26"/>
      <x:c r="Q1095" s="13" t="str"/>
      <x:c r="R1095" s="13" t="str"/>
      <x:c r="S1095" s="13" t="str"/>
      <x:c r="T1095" s="13" t="str"/>
    </x:row>
    <x:row r="1096">
      <x:c r="A1096" s="13" t="str">
        <x:v>Rayan</x:v>
      </x:c>
      <x:c r="B1096" s="13" t="n">
        <x:v>2029</x:v>
      </x:c>
      <x:c r="C1096" s="13" t="str">
        <x:v>T3</x:v>
      </x:c>
      <x:c r="D1096" s="24" t="n">
        <x:v>47391</x:v>
      </x:c>
      <x:c r="E1096" s="13" t="str">
        <x:v>Ponta-direita</x:v>
      </x:c>
      <x:c r="F1096" s="13" t="str">
        <x:v>AFC Bournemouth</x:v>
      </x:c>
      <x:c r="G1096" s="16"/>
      <x:c r="H1096" s="16"/>
      <x:c r="I1096" s="16"/>
      <x:c r="J1096" s="16"/>
      <x:c r="K1096" s="16" t="str">
        <x:f>IF(COUNT(G1096,I1096)=0,"",AVERAGE(G1096,I1096))</x:f>
      </x:c>
      <x:c r="L1096" s="16" t="str">
        <x:f>IF(COUNT(H1096,J1096)=0,"",AVERAGE(H1096,J1096))</x:f>
      </x:c>
      <x:c r="M1096" s="16" t="str">
        <x:f>IF(OR(K1096="",L1096=""),"",L1096-K1096)</x:f>
      </x:c>
      <x:c r="N1096" s="16" t="str">
        <x:f>IF(AND(A1096=A1095,ISNUMBER(K1096),ISNUMBER(K1095)),K1096-K1095,"")</x:f>
      </x:c>
      <x:c r="O1096" s="13" t="str">
        <x:v>Sem informação</x:v>
      </x:c>
      <x:c r="P1096" s="26"/>
      <x:c r="Q1096" s="13" t="str"/>
      <x:c r="R1096" s="13" t="str"/>
      <x:c r="S1096" s="13" t="str"/>
      <x:c r="T1096" s="13" t="str"/>
    </x:row>
    <x:row r="1097">
      <x:c r="A1097" s="13" t="str">
        <x:v>Rayan</x:v>
      </x:c>
      <x:c r="B1097" s="13" t="n">
        <x:v>2029</x:v>
      </x:c>
      <x:c r="C1097" s="13" t="str">
        <x:v>T4</x:v>
      </x:c>
      <x:c r="D1097" s="24" t="n">
        <x:v>47483</x:v>
      </x:c>
      <x:c r="E1097" s="13" t="str">
        <x:v>Ponta-direita</x:v>
      </x:c>
      <x:c r="F1097" s="13" t="str">
        <x:v>AFC Bournemouth</x:v>
      </x:c>
      <x:c r="G1097" s="16"/>
      <x:c r="H1097" s="16"/>
      <x:c r="I1097" s="16"/>
      <x:c r="J1097" s="16"/>
      <x:c r="K1097" s="16" t="str">
        <x:f>IF(COUNT(G1097,I1097)=0,"",AVERAGE(G1097,I1097))</x:f>
      </x:c>
      <x:c r="L1097" s="16" t="str">
        <x:f>IF(COUNT(H1097,J1097)=0,"",AVERAGE(H1097,J1097))</x:f>
      </x:c>
      <x:c r="M1097" s="16" t="str">
        <x:f>IF(OR(K1097="",L1097=""),"",L1097-K1097)</x:f>
      </x:c>
      <x:c r="N1097" s="16" t="str">
        <x:f>IF(AND(A1097=A1096,ISNUMBER(K1097),ISNUMBER(K1096)),K1097-K1096,"")</x:f>
      </x:c>
      <x:c r="O1097" s="13" t="str">
        <x:v>Sem informação</x:v>
      </x:c>
      <x:c r="P1097" s="26"/>
      <x:c r="Q1097" s="13" t="str"/>
      <x:c r="R1097" s="13" t="str"/>
      <x:c r="S1097" s="13" t="str"/>
      <x:c r="T1097" s="13" t="str"/>
    </x:row>
    <x:row r="1098">
      <x:c r="A1098" s="13" t="str">
        <x:v>Rayan</x:v>
      </x:c>
      <x:c r="B1098" s="13" t="n">
        <x:v>2030</x:v>
      </x:c>
      <x:c r="C1098" s="13" t="str">
        <x:v>T1</x:v>
      </x:c>
      <x:c r="D1098" s="24" t="n">
        <x:v>47573</x:v>
      </x:c>
      <x:c r="E1098" s="13" t="str">
        <x:v>Ponta-direita</x:v>
      </x:c>
      <x:c r="F1098" s="13" t="str">
        <x:v>AFC Bournemouth</x:v>
      </x:c>
      <x:c r="G1098" s="16"/>
      <x:c r="H1098" s="16"/>
      <x:c r="I1098" s="16"/>
      <x:c r="J1098" s="16"/>
      <x:c r="K1098" s="16" t="str">
        <x:f>IF(COUNT(G1098,I1098)=0,"",AVERAGE(G1098,I1098))</x:f>
      </x:c>
      <x:c r="L1098" s="16" t="str">
        <x:f>IF(COUNT(H1098,J1098)=0,"",AVERAGE(H1098,J1098))</x:f>
      </x:c>
      <x:c r="M1098" s="16" t="str">
        <x:f>IF(OR(K1098="",L1098=""),"",L1098-K1098)</x:f>
      </x:c>
      <x:c r="N1098" s="16" t="str">
        <x:f>IF(AND(A1098=A1097,ISNUMBER(K1098),ISNUMBER(K1097)),K1098-K1097,"")</x:f>
      </x:c>
      <x:c r="O1098" s="13" t="str">
        <x:v>Sem informação</x:v>
      </x:c>
      <x:c r="P1098" s="26"/>
      <x:c r="Q1098" s="13" t="str"/>
      <x:c r="R1098" s="13" t="str"/>
      <x:c r="S1098" s="13" t="str"/>
      <x:c r="T1098" s="13" t="str"/>
    </x:row>
    <x:row r="1099">
      <x:c r="A1099" s="13" t="str">
        <x:v>Rayan</x:v>
      </x:c>
      <x:c r="B1099" s="13" t="n">
        <x:v>2030</x:v>
      </x:c>
      <x:c r="C1099" s="13" t="str">
        <x:v>T2</x:v>
      </x:c>
      <x:c r="D1099" s="24" t="n">
        <x:v>47664</x:v>
      </x:c>
      <x:c r="E1099" s="13" t="str">
        <x:v>Ponta-direita</x:v>
      </x:c>
      <x:c r="F1099" s="13" t="str">
        <x:v>AFC Bournemouth</x:v>
      </x:c>
      <x:c r="G1099" s="16"/>
      <x:c r="H1099" s="16"/>
      <x:c r="I1099" s="16"/>
      <x:c r="J1099" s="16"/>
      <x:c r="K1099" s="16" t="str">
        <x:f>IF(COUNT(G1099,I1099)=0,"",AVERAGE(G1099,I1099))</x:f>
      </x:c>
      <x:c r="L1099" s="16" t="str">
        <x:f>IF(COUNT(H1099,J1099)=0,"",AVERAGE(H1099,J1099))</x:f>
      </x:c>
      <x:c r="M1099" s="16" t="str">
        <x:f>IF(OR(K1099="",L1099=""),"",L1099-K1099)</x:f>
      </x:c>
      <x:c r="N1099" s="16" t="str">
        <x:f>IF(AND(A1099=A1098,ISNUMBER(K1099),ISNUMBER(K1098)),K1099-K1098,"")</x:f>
      </x:c>
      <x:c r="O1099" s="13" t="str">
        <x:v>Sem informação</x:v>
      </x:c>
      <x:c r="P1099" s="26"/>
      <x:c r="Q1099" s="13" t="str"/>
      <x:c r="R1099" s="13" t="str"/>
      <x:c r="S1099" s="13" t="str"/>
      <x:c r="T1099" s="13" t="str"/>
    </x:row>
    <x:row r="1100">
      <x:c r="A1100" s="13" t="str">
        <x:v>Rayan</x:v>
      </x:c>
      <x:c r="B1100" s="13" t="n">
        <x:v>2030</x:v>
      </x:c>
      <x:c r="C1100" s="13" t="str">
        <x:v>T3</x:v>
      </x:c>
      <x:c r="D1100" s="24" t="n">
        <x:v>47756</x:v>
      </x:c>
      <x:c r="E1100" s="13" t="str">
        <x:v>Ponta-direita</x:v>
      </x:c>
      <x:c r="F1100" s="13" t="str">
        <x:v>AFC Bournemouth</x:v>
      </x:c>
      <x:c r="G1100" s="16"/>
      <x:c r="H1100" s="16"/>
      <x:c r="I1100" s="16"/>
      <x:c r="J1100" s="16"/>
      <x:c r="K1100" s="16" t="str">
        <x:f>IF(COUNT(G1100,I1100)=0,"",AVERAGE(G1100,I1100))</x:f>
      </x:c>
      <x:c r="L1100" s="16" t="str">
        <x:f>IF(COUNT(H1100,J1100)=0,"",AVERAGE(H1100,J1100))</x:f>
      </x:c>
      <x:c r="M1100" s="16" t="str">
        <x:f>IF(OR(K1100="",L1100=""),"",L1100-K1100)</x:f>
      </x:c>
      <x:c r="N1100" s="16" t="str">
        <x:f>IF(AND(A1100=A1099,ISNUMBER(K1100),ISNUMBER(K1099)),K1100-K1099,"")</x:f>
      </x:c>
      <x:c r="O1100" s="13" t="str">
        <x:v>Sem informação</x:v>
      </x:c>
      <x:c r="P1100" s="26"/>
      <x:c r="Q1100" s="13" t="str"/>
      <x:c r="R1100" s="13" t="str"/>
      <x:c r="S1100" s="13" t="str"/>
      <x:c r="T1100" s="13" t="str"/>
    </x:row>
    <x:row r="1101">
      <x:c r="A1101" s="13" t="str">
        <x:v>Rayan</x:v>
      </x:c>
      <x:c r="B1101" s="13" t="n">
        <x:v>2030</x:v>
      </x:c>
      <x:c r="C1101" s="13" t="str">
        <x:v>T4</x:v>
      </x:c>
      <x:c r="D1101" s="24" t="n">
        <x:v>47848</x:v>
      </x:c>
      <x:c r="E1101" s="13" t="str">
        <x:v>Ponta-direita</x:v>
      </x:c>
      <x:c r="F1101" s="13" t="str">
        <x:v>AFC Bournemouth</x:v>
      </x:c>
      <x:c r="G1101" s="16"/>
      <x:c r="H1101" s="16"/>
      <x:c r="I1101" s="16"/>
      <x:c r="J1101" s="16"/>
      <x:c r="K1101" s="16" t="str">
        <x:f>IF(COUNT(G1101,I1101)=0,"",AVERAGE(G1101,I1101))</x:f>
      </x:c>
      <x:c r="L1101" s="16" t="str">
        <x:f>IF(COUNT(H1101,J1101)=0,"",AVERAGE(H1101,J1101))</x:f>
      </x:c>
      <x:c r="M1101" s="16" t="str">
        <x:f>IF(OR(K1101="",L1101=""),"",L1101-K1101)</x:f>
      </x:c>
      <x:c r="N1101" s="16" t="str">
        <x:f>IF(AND(A1101=A1100,ISNUMBER(K1101),ISNUMBER(K1100)),K1101-K1100,"")</x:f>
      </x:c>
      <x:c r="O1101" s="13" t="str">
        <x:v>Sem informação</x:v>
      </x:c>
      <x:c r="P1101" s="26"/>
      <x:c r="Q1101" s="13" t="str"/>
      <x:c r="R1101" s="13" t="str"/>
      <x:c r="S1101" s="13" t="str"/>
      <x:c r="T1101" s="13" t="str"/>
    </x:row>
    <x:row r="1102">
      <x:c r="A1102" s="13" t="str">
        <x:v>Roger Ibañez</x:v>
      </x:c>
      <x:c r="B1102" s="13" t="n">
        <x:v>2026</x:v>
      </x:c>
      <x:c r="C1102" s="13" t="str">
        <x:v>T1</x:v>
      </x:c>
      <x:c r="D1102" s="24" t="n">
        <x:v>46112</x:v>
      </x:c>
      <x:c r="E1102" s="13" t="str">
        <x:v>Zagueiro</x:v>
      </x:c>
      <x:c r="F1102" s="13" t="str">
        <x:v>Al-Ahli SFC</x:v>
      </x:c>
      <x:c r="G1102" s="16"/>
      <x:c r="H1102" s="16"/>
      <x:c r="I1102" s="16"/>
      <x:c r="J1102" s="16"/>
      <x:c r="K1102" s="16" t="str">
        <x:f>IF(COUNT(G1102,I1102)=0,"",AVERAGE(G1102,I1102))</x:f>
      </x:c>
      <x:c r="L1102" s="16" t="str">
        <x:f>IF(COUNT(H1102,J1102)=0,"",AVERAGE(H1102,J1102))</x:f>
      </x:c>
      <x:c r="M1102" s="16" t="str">
        <x:f>IF(OR(K1102="",L1102=""),"",L1102-K1102)</x:f>
      </x:c>
      <x:c r="N1102" s="16" t="str">
        <x:f>""</x:f>
      </x:c>
      <x:c r="O1102" s="13" t="str">
        <x:v>Sem informação</x:v>
      </x:c>
      <x:c r="P1102" s="26"/>
      <x:c r="Q1102" s="13" t="str"/>
      <x:c r="R1102" s="13" t="str"/>
      <x:c r="S1102" s="13" t="str"/>
      <x:c r="T1102" s="13" t="str"/>
    </x:row>
    <x:row r="1103">
      <x:c r="A1103" s="13" t="str">
        <x:v>Roger Ibañez</x:v>
      </x:c>
      <x:c r="B1103" s="13" t="n">
        <x:v>2026</x:v>
      </x:c>
      <x:c r="C1103" s="13" t="str">
        <x:v>T2</x:v>
      </x:c>
      <x:c r="D1103" s="24" t="n">
        <x:v>46203</x:v>
      </x:c>
      <x:c r="E1103" s="13" t="str">
        <x:v>Zagueiro</x:v>
      </x:c>
      <x:c r="F1103" s="13" t="str">
        <x:v>Al-Ahli SFC</x:v>
      </x:c>
      <x:c r="G1103" s="16"/>
      <x:c r="H1103" s="16"/>
      <x:c r="I1103" s="16"/>
      <x:c r="J1103" s="16"/>
      <x:c r="K1103" s="16" t="str">
        <x:f>IF(COUNT(G1103,I1103)=0,"",AVERAGE(G1103,I1103))</x:f>
      </x:c>
      <x:c r="L1103" s="16" t="str">
        <x:f>IF(COUNT(H1103,J1103)=0,"",AVERAGE(H1103,J1103))</x:f>
      </x:c>
      <x:c r="M1103" s="16" t="str">
        <x:f>IF(OR(K1103="",L1103=""),"",L1103-K1103)</x:f>
      </x:c>
      <x:c r="N1103" s="16" t="str">
        <x:f>IF(AND(A1103=A1102,ISNUMBER(K1103),ISNUMBER(K1102)),K1103-K1102,"")</x:f>
      </x:c>
      <x:c r="O1103" s="13" t="str">
        <x:v>Sem informação</x:v>
      </x:c>
      <x:c r="P1103" s="26"/>
      <x:c r="Q1103" s="13" t="str"/>
      <x:c r="R1103" s="13" t="str"/>
      <x:c r="S1103" s="13" t="str"/>
      <x:c r="T1103" s="13" t="str"/>
    </x:row>
    <x:row r="1104">
      <x:c r="A1104" s="13" t="str">
        <x:v>Roger Ibañez</x:v>
      </x:c>
      <x:c r="B1104" s="13" t="n">
        <x:v>2026</x:v>
      </x:c>
      <x:c r="C1104" s="13" t="str">
        <x:v>T3</x:v>
      </x:c>
      <x:c r="D1104" s="24" t="n">
        <x:v>46295</x:v>
      </x:c>
      <x:c r="E1104" s="13" t="str">
        <x:v>Zagueiro</x:v>
      </x:c>
      <x:c r="F1104" s="13" t="str">
        <x:v>Al-Ahli SFC</x:v>
      </x:c>
      <x:c r="G1104" s="16"/>
      <x:c r="H1104" s="16"/>
      <x:c r="I1104" s="16"/>
      <x:c r="J1104" s="16"/>
      <x:c r="K1104" s="16" t="str">
        <x:f>IF(COUNT(G1104,I1104)=0,"",AVERAGE(G1104,I1104))</x:f>
      </x:c>
      <x:c r="L1104" s="16" t="str">
        <x:f>IF(COUNT(H1104,J1104)=0,"",AVERAGE(H1104,J1104))</x:f>
      </x:c>
      <x:c r="M1104" s="16" t="str">
        <x:f>IF(OR(K1104="",L1104=""),"",L1104-K1104)</x:f>
      </x:c>
      <x:c r="N1104" s="16" t="str">
        <x:f>IF(AND(A1104=A1103,ISNUMBER(K1104),ISNUMBER(K1103)),K1104-K1103,"")</x:f>
      </x:c>
      <x:c r="O1104" s="13" t="str">
        <x:v>Sem informação</x:v>
      </x:c>
      <x:c r="P1104" s="26"/>
      <x:c r="Q1104" s="13" t="str"/>
      <x:c r="R1104" s="13" t="str"/>
      <x:c r="S1104" s="13" t="str"/>
      <x:c r="T1104" s="13" t="str"/>
    </x:row>
    <x:row r="1105">
      <x:c r="A1105" s="13" t="str">
        <x:v>Roger Ibañez</x:v>
      </x:c>
      <x:c r="B1105" s="13" t="n">
        <x:v>2026</x:v>
      </x:c>
      <x:c r="C1105" s="13" t="str">
        <x:v>T4</x:v>
      </x:c>
      <x:c r="D1105" s="24" t="n">
        <x:v>46387</x:v>
      </x:c>
      <x:c r="E1105" s="13" t="str">
        <x:v>Zagueiro</x:v>
      </x:c>
      <x:c r="F1105" s="13" t="str">
        <x:v>Al-Ahli SFC</x:v>
      </x:c>
      <x:c r="G1105" s="16"/>
      <x:c r="H1105" s="16"/>
      <x:c r="I1105" s="16"/>
      <x:c r="J1105" s="16"/>
      <x:c r="K1105" s="16" t="str">
        <x:f>IF(COUNT(G1105,I1105)=0,"",AVERAGE(G1105,I1105))</x:f>
      </x:c>
      <x:c r="L1105" s="16" t="str">
        <x:f>IF(COUNT(H1105,J1105)=0,"",AVERAGE(H1105,J1105))</x:f>
      </x:c>
      <x:c r="M1105" s="16" t="str">
        <x:f>IF(OR(K1105="",L1105=""),"",L1105-K1105)</x:f>
      </x:c>
      <x:c r="N1105" s="16" t="str">
        <x:f>IF(AND(A1105=A1104,ISNUMBER(K1105),ISNUMBER(K1104)),K1105-K1104,"")</x:f>
      </x:c>
      <x:c r="O1105" s="13" t="str">
        <x:v>Sem informação</x:v>
      </x:c>
      <x:c r="P1105" s="26"/>
      <x:c r="Q1105" s="13" t="str"/>
      <x:c r="R1105" s="13" t="str"/>
      <x:c r="S1105" s="13" t="str"/>
      <x:c r="T1105" s="13" t="str"/>
    </x:row>
    <x:row r="1106">
      <x:c r="A1106" s="13" t="str">
        <x:v>Roger Ibañez</x:v>
      </x:c>
      <x:c r="B1106" s="13" t="n">
        <x:v>2027</x:v>
      </x:c>
      <x:c r="C1106" s="13" t="str">
        <x:v>T1</x:v>
      </x:c>
      <x:c r="D1106" s="24" t="n">
        <x:v>46477</x:v>
      </x:c>
      <x:c r="E1106" s="13" t="str">
        <x:v>Zagueiro</x:v>
      </x:c>
      <x:c r="F1106" s="13" t="str">
        <x:v>Al-Ahli SFC</x:v>
      </x:c>
      <x:c r="G1106" s="16"/>
      <x:c r="H1106" s="16"/>
      <x:c r="I1106" s="16"/>
      <x:c r="J1106" s="16"/>
      <x:c r="K1106" s="16" t="str">
        <x:f>IF(COUNT(G1106,I1106)=0,"",AVERAGE(G1106,I1106))</x:f>
      </x:c>
      <x:c r="L1106" s="16" t="str">
        <x:f>IF(COUNT(H1106,J1106)=0,"",AVERAGE(H1106,J1106))</x:f>
      </x:c>
      <x:c r="M1106" s="16" t="str">
        <x:f>IF(OR(K1106="",L1106=""),"",L1106-K1106)</x:f>
      </x:c>
      <x:c r="N1106" s="16" t="str">
        <x:f>IF(AND(A1106=A1105,ISNUMBER(K1106),ISNUMBER(K1105)),K1106-K1105,"")</x:f>
      </x:c>
      <x:c r="O1106" s="13" t="str">
        <x:v>Sem informação</x:v>
      </x:c>
      <x:c r="P1106" s="26"/>
      <x:c r="Q1106" s="13" t="str"/>
      <x:c r="R1106" s="13" t="str"/>
      <x:c r="S1106" s="13" t="str"/>
      <x:c r="T1106" s="13" t="str"/>
    </x:row>
    <x:row r="1107">
      <x:c r="A1107" s="13" t="str">
        <x:v>Roger Ibañez</x:v>
      </x:c>
      <x:c r="B1107" s="13" t="n">
        <x:v>2027</x:v>
      </x:c>
      <x:c r="C1107" s="13" t="str">
        <x:v>T2</x:v>
      </x:c>
      <x:c r="D1107" s="24" t="n">
        <x:v>46568</x:v>
      </x:c>
      <x:c r="E1107" s="13" t="str">
        <x:v>Zagueiro</x:v>
      </x:c>
      <x:c r="F1107" s="13" t="str">
        <x:v>Al-Ahli SFC</x:v>
      </x:c>
      <x:c r="G1107" s="16"/>
      <x:c r="H1107" s="16"/>
      <x:c r="I1107" s="16"/>
      <x:c r="J1107" s="16"/>
      <x:c r="K1107" s="16" t="str">
        <x:f>IF(COUNT(G1107,I1107)=0,"",AVERAGE(G1107,I1107))</x:f>
      </x:c>
      <x:c r="L1107" s="16" t="str">
        <x:f>IF(COUNT(H1107,J1107)=0,"",AVERAGE(H1107,J1107))</x:f>
      </x:c>
      <x:c r="M1107" s="16" t="str">
        <x:f>IF(OR(K1107="",L1107=""),"",L1107-K1107)</x:f>
      </x:c>
      <x:c r="N1107" s="16" t="str">
        <x:f>IF(AND(A1107=A1106,ISNUMBER(K1107),ISNUMBER(K1106)),K1107-K1106,"")</x:f>
      </x:c>
      <x:c r="O1107" s="13" t="str">
        <x:v>Sem informação</x:v>
      </x:c>
      <x:c r="P1107" s="26"/>
      <x:c r="Q1107" s="13" t="str"/>
      <x:c r="R1107" s="13" t="str"/>
      <x:c r="S1107" s="13" t="str"/>
      <x:c r="T1107" s="13" t="str"/>
    </x:row>
    <x:row r="1108">
      <x:c r="A1108" s="13" t="str">
        <x:v>Roger Ibañez</x:v>
      </x:c>
      <x:c r="B1108" s="13" t="n">
        <x:v>2027</x:v>
      </x:c>
      <x:c r="C1108" s="13" t="str">
        <x:v>T3</x:v>
      </x:c>
      <x:c r="D1108" s="24" t="n">
        <x:v>46660</x:v>
      </x:c>
      <x:c r="E1108" s="13" t="str">
        <x:v>Zagueiro</x:v>
      </x:c>
      <x:c r="F1108" s="13" t="str">
        <x:v>Al-Ahli SFC</x:v>
      </x:c>
      <x:c r="G1108" s="16"/>
      <x:c r="H1108" s="16"/>
      <x:c r="I1108" s="16"/>
      <x:c r="J1108" s="16"/>
      <x:c r="K1108" s="16" t="str">
        <x:f>IF(COUNT(G1108,I1108)=0,"",AVERAGE(G1108,I1108))</x:f>
      </x:c>
      <x:c r="L1108" s="16" t="str">
        <x:f>IF(COUNT(H1108,J1108)=0,"",AVERAGE(H1108,J1108))</x:f>
      </x:c>
      <x:c r="M1108" s="16" t="str">
        <x:f>IF(OR(K1108="",L1108=""),"",L1108-K1108)</x:f>
      </x:c>
      <x:c r="N1108" s="16" t="str">
        <x:f>IF(AND(A1108=A1107,ISNUMBER(K1108),ISNUMBER(K1107)),K1108-K1107,"")</x:f>
      </x:c>
      <x:c r="O1108" s="13" t="str">
        <x:v>Sem informação</x:v>
      </x:c>
      <x:c r="P1108" s="26"/>
      <x:c r="Q1108" s="13" t="str"/>
      <x:c r="R1108" s="13" t="str"/>
      <x:c r="S1108" s="13" t="str"/>
      <x:c r="T1108" s="13" t="str"/>
    </x:row>
    <x:row r="1109">
      <x:c r="A1109" s="13" t="str">
        <x:v>Roger Ibañez</x:v>
      </x:c>
      <x:c r="B1109" s="13" t="n">
        <x:v>2027</x:v>
      </x:c>
      <x:c r="C1109" s="13" t="str">
        <x:v>T4</x:v>
      </x:c>
      <x:c r="D1109" s="24" t="n">
        <x:v>46752</x:v>
      </x:c>
      <x:c r="E1109" s="13" t="str">
        <x:v>Zagueiro</x:v>
      </x:c>
      <x:c r="F1109" s="13" t="str">
        <x:v>Al-Ahli SFC</x:v>
      </x:c>
      <x:c r="G1109" s="16"/>
      <x:c r="H1109" s="16"/>
      <x:c r="I1109" s="16"/>
      <x:c r="J1109" s="16"/>
      <x:c r="K1109" s="16" t="str">
        <x:f>IF(COUNT(G1109,I1109)=0,"",AVERAGE(G1109,I1109))</x:f>
      </x:c>
      <x:c r="L1109" s="16" t="str">
        <x:f>IF(COUNT(H1109,J1109)=0,"",AVERAGE(H1109,J1109))</x:f>
      </x:c>
      <x:c r="M1109" s="16" t="str">
        <x:f>IF(OR(K1109="",L1109=""),"",L1109-K1109)</x:f>
      </x:c>
      <x:c r="N1109" s="16" t="str">
        <x:f>IF(AND(A1109=A1108,ISNUMBER(K1109),ISNUMBER(K1108)),K1109-K1108,"")</x:f>
      </x:c>
      <x:c r="O1109" s="13" t="str">
        <x:v>Sem informação</x:v>
      </x:c>
      <x:c r="P1109" s="26"/>
      <x:c r="Q1109" s="13" t="str"/>
      <x:c r="R1109" s="13" t="str"/>
      <x:c r="S1109" s="13" t="str"/>
      <x:c r="T1109" s="13" t="str"/>
    </x:row>
    <x:row r="1110">
      <x:c r="A1110" s="13" t="str">
        <x:v>Roger Ibañez</x:v>
      </x:c>
      <x:c r="B1110" s="13" t="n">
        <x:v>2028</x:v>
      </x:c>
      <x:c r="C1110" s="13" t="str">
        <x:v>T1</x:v>
      </x:c>
      <x:c r="D1110" s="24" t="n">
        <x:v>46843</x:v>
      </x:c>
      <x:c r="E1110" s="13" t="str">
        <x:v>Zagueiro</x:v>
      </x:c>
      <x:c r="F1110" s="13" t="str">
        <x:v>Al-Ahli SFC</x:v>
      </x:c>
      <x:c r="G1110" s="16"/>
      <x:c r="H1110" s="16"/>
      <x:c r="I1110" s="16"/>
      <x:c r="J1110" s="16"/>
      <x:c r="K1110" s="16" t="str">
        <x:f>IF(COUNT(G1110,I1110)=0,"",AVERAGE(G1110,I1110))</x:f>
      </x:c>
      <x:c r="L1110" s="16" t="str">
        <x:f>IF(COUNT(H1110,J1110)=0,"",AVERAGE(H1110,J1110))</x:f>
      </x:c>
      <x:c r="M1110" s="16" t="str">
        <x:f>IF(OR(K1110="",L1110=""),"",L1110-K1110)</x:f>
      </x:c>
      <x:c r="N1110" s="16" t="str">
        <x:f>IF(AND(A1110=A1109,ISNUMBER(K1110),ISNUMBER(K1109)),K1110-K1109,"")</x:f>
      </x:c>
      <x:c r="O1110" s="13" t="str">
        <x:v>Sem informação</x:v>
      </x:c>
      <x:c r="P1110" s="26"/>
      <x:c r="Q1110" s="13" t="str"/>
      <x:c r="R1110" s="13" t="str"/>
      <x:c r="S1110" s="13" t="str"/>
      <x:c r="T1110" s="13" t="str"/>
    </x:row>
    <x:row r="1111">
      <x:c r="A1111" s="13" t="str">
        <x:v>Roger Ibañez</x:v>
      </x:c>
      <x:c r="B1111" s="13" t="n">
        <x:v>2028</x:v>
      </x:c>
      <x:c r="C1111" s="13" t="str">
        <x:v>T2</x:v>
      </x:c>
      <x:c r="D1111" s="24" t="n">
        <x:v>46934</x:v>
      </x:c>
      <x:c r="E1111" s="13" t="str">
        <x:v>Zagueiro</x:v>
      </x:c>
      <x:c r="F1111" s="13" t="str">
        <x:v>Al-Ahli SFC</x:v>
      </x:c>
      <x:c r="G1111" s="16"/>
      <x:c r="H1111" s="16"/>
      <x:c r="I1111" s="16"/>
      <x:c r="J1111" s="16"/>
      <x:c r="K1111" s="16" t="str">
        <x:f>IF(COUNT(G1111,I1111)=0,"",AVERAGE(G1111,I1111))</x:f>
      </x:c>
      <x:c r="L1111" s="16" t="str">
        <x:f>IF(COUNT(H1111,J1111)=0,"",AVERAGE(H1111,J1111))</x:f>
      </x:c>
      <x:c r="M1111" s="16" t="str">
        <x:f>IF(OR(K1111="",L1111=""),"",L1111-K1111)</x:f>
      </x:c>
      <x:c r="N1111" s="16" t="str">
        <x:f>IF(AND(A1111=A1110,ISNUMBER(K1111),ISNUMBER(K1110)),K1111-K1110,"")</x:f>
      </x:c>
      <x:c r="O1111" s="13" t="str">
        <x:v>Sem informação</x:v>
      </x:c>
      <x:c r="P1111" s="26"/>
      <x:c r="Q1111" s="13" t="str"/>
      <x:c r="R1111" s="13" t="str"/>
      <x:c r="S1111" s="13" t="str"/>
      <x:c r="T1111" s="13" t="str"/>
    </x:row>
    <x:row r="1112">
      <x:c r="A1112" s="13" t="str">
        <x:v>Roger Ibañez</x:v>
      </x:c>
      <x:c r="B1112" s="13" t="n">
        <x:v>2028</x:v>
      </x:c>
      <x:c r="C1112" s="13" t="str">
        <x:v>T3</x:v>
      </x:c>
      <x:c r="D1112" s="24" t="n">
        <x:v>47026</x:v>
      </x:c>
      <x:c r="E1112" s="13" t="str">
        <x:v>Zagueiro</x:v>
      </x:c>
      <x:c r="F1112" s="13" t="str">
        <x:v>Al-Ahli SFC</x:v>
      </x:c>
      <x:c r="G1112" s="16"/>
      <x:c r="H1112" s="16"/>
      <x:c r="I1112" s="16"/>
      <x:c r="J1112" s="16"/>
      <x:c r="K1112" s="16" t="str">
        <x:f>IF(COUNT(G1112,I1112)=0,"",AVERAGE(G1112,I1112))</x:f>
      </x:c>
      <x:c r="L1112" s="16" t="str">
        <x:f>IF(COUNT(H1112,J1112)=0,"",AVERAGE(H1112,J1112))</x:f>
      </x:c>
      <x:c r="M1112" s="16" t="str">
        <x:f>IF(OR(K1112="",L1112=""),"",L1112-K1112)</x:f>
      </x:c>
      <x:c r="N1112" s="16" t="str">
        <x:f>IF(AND(A1112=A1111,ISNUMBER(K1112),ISNUMBER(K1111)),K1112-K1111,"")</x:f>
      </x:c>
      <x:c r="O1112" s="13" t="str">
        <x:v>Sem informação</x:v>
      </x:c>
      <x:c r="P1112" s="26"/>
      <x:c r="Q1112" s="13" t="str"/>
      <x:c r="R1112" s="13" t="str"/>
      <x:c r="S1112" s="13" t="str"/>
      <x:c r="T1112" s="13" t="str"/>
    </x:row>
    <x:row r="1113">
      <x:c r="A1113" s="13" t="str">
        <x:v>Roger Ibañez</x:v>
      </x:c>
      <x:c r="B1113" s="13" t="n">
        <x:v>2028</x:v>
      </x:c>
      <x:c r="C1113" s="13" t="str">
        <x:v>T4</x:v>
      </x:c>
      <x:c r="D1113" s="24" t="n">
        <x:v>47118</x:v>
      </x:c>
      <x:c r="E1113" s="13" t="str">
        <x:v>Zagueiro</x:v>
      </x:c>
      <x:c r="F1113" s="13" t="str">
        <x:v>Al-Ahli SFC</x:v>
      </x:c>
      <x:c r="G1113" s="16"/>
      <x:c r="H1113" s="16"/>
      <x:c r="I1113" s="16"/>
      <x:c r="J1113" s="16"/>
      <x:c r="K1113" s="16" t="str">
        <x:f>IF(COUNT(G1113,I1113)=0,"",AVERAGE(G1113,I1113))</x:f>
      </x:c>
      <x:c r="L1113" s="16" t="str">
        <x:f>IF(COUNT(H1113,J1113)=0,"",AVERAGE(H1113,J1113))</x:f>
      </x:c>
      <x:c r="M1113" s="16" t="str">
        <x:f>IF(OR(K1113="",L1113=""),"",L1113-K1113)</x:f>
      </x:c>
      <x:c r="N1113" s="16" t="str">
        <x:f>IF(AND(A1113=A1112,ISNUMBER(K1113),ISNUMBER(K1112)),K1113-K1112,"")</x:f>
      </x:c>
      <x:c r="O1113" s="13" t="str">
        <x:v>Sem informação</x:v>
      </x:c>
      <x:c r="P1113" s="26"/>
      <x:c r="Q1113" s="13" t="str"/>
      <x:c r="R1113" s="13" t="str"/>
      <x:c r="S1113" s="13" t="str"/>
      <x:c r="T1113" s="13" t="str"/>
    </x:row>
    <x:row r="1114">
      <x:c r="A1114" s="13" t="str">
        <x:v>Roger Ibañez</x:v>
      </x:c>
      <x:c r="B1114" s="13" t="n">
        <x:v>2029</x:v>
      </x:c>
      <x:c r="C1114" s="13" t="str">
        <x:v>T1</x:v>
      </x:c>
      <x:c r="D1114" s="24" t="n">
        <x:v>47208</x:v>
      </x:c>
      <x:c r="E1114" s="13" t="str">
        <x:v>Zagueiro</x:v>
      </x:c>
      <x:c r="F1114" s="13" t="str">
        <x:v>Al-Ahli SFC</x:v>
      </x:c>
      <x:c r="G1114" s="16"/>
      <x:c r="H1114" s="16"/>
      <x:c r="I1114" s="16"/>
      <x:c r="J1114" s="16"/>
      <x:c r="K1114" s="16" t="str">
        <x:f>IF(COUNT(G1114,I1114)=0,"",AVERAGE(G1114,I1114))</x:f>
      </x:c>
      <x:c r="L1114" s="16" t="str">
        <x:f>IF(COUNT(H1114,J1114)=0,"",AVERAGE(H1114,J1114))</x:f>
      </x:c>
      <x:c r="M1114" s="16" t="str">
        <x:f>IF(OR(K1114="",L1114=""),"",L1114-K1114)</x:f>
      </x:c>
      <x:c r="N1114" s="16" t="str">
        <x:f>IF(AND(A1114=A1113,ISNUMBER(K1114),ISNUMBER(K1113)),K1114-K1113,"")</x:f>
      </x:c>
      <x:c r="O1114" s="13" t="str">
        <x:v>Sem informação</x:v>
      </x:c>
      <x:c r="P1114" s="26"/>
      <x:c r="Q1114" s="13" t="str"/>
      <x:c r="R1114" s="13" t="str"/>
      <x:c r="S1114" s="13" t="str"/>
      <x:c r="T1114" s="13" t="str"/>
    </x:row>
    <x:row r="1115">
      <x:c r="A1115" s="13" t="str">
        <x:v>Roger Ibañez</x:v>
      </x:c>
      <x:c r="B1115" s="13" t="n">
        <x:v>2029</x:v>
      </x:c>
      <x:c r="C1115" s="13" t="str">
        <x:v>T2</x:v>
      </x:c>
      <x:c r="D1115" s="24" t="n">
        <x:v>47299</x:v>
      </x:c>
      <x:c r="E1115" s="13" t="str">
        <x:v>Zagueiro</x:v>
      </x:c>
      <x:c r="F1115" s="13" t="str">
        <x:v>Al-Ahli SFC</x:v>
      </x:c>
      <x:c r="G1115" s="16"/>
      <x:c r="H1115" s="16"/>
      <x:c r="I1115" s="16"/>
      <x:c r="J1115" s="16"/>
      <x:c r="K1115" s="16" t="str">
        <x:f>IF(COUNT(G1115,I1115)=0,"",AVERAGE(G1115,I1115))</x:f>
      </x:c>
      <x:c r="L1115" s="16" t="str">
        <x:f>IF(COUNT(H1115,J1115)=0,"",AVERAGE(H1115,J1115))</x:f>
      </x:c>
      <x:c r="M1115" s="16" t="str">
        <x:f>IF(OR(K1115="",L1115=""),"",L1115-K1115)</x:f>
      </x:c>
      <x:c r="N1115" s="16" t="str">
        <x:f>IF(AND(A1115=A1114,ISNUMBER(K1115),ISNUMBER(K1114)),K1115-K1114,"")</x:f>
      </x:c>
      <x:c r="O1115" s="13" t="str">
        <x:v>Sem informação</x:v>
      </x:c>
      <x:c r="P1115" s="26"/>
      <x:c r="Q1115" s="13" t="str"/>
      <x:c r="R1115" s="13" t="str"/>
      <x:c r="S1115" s="13" t="str"/>
      <x:c r="T1115" s="13" t="str"/>
    </x:row>
    <x:row r="1116">
      <x:c r="A1116" s="13" t="str">
        <x:v>Roger Ibañez</x:v>
      </x:c>
      <x:c r="B1116" s="13" t="n">
        <x:v>2029</x:v>
      </x:c>
      <x:c r="C1116" s="13" t="str">
        <x:v>T3</x:v>
      </x:c>
      <x:c r="D1116" s="24" t="n">
        <x:v>47391</x:v>
      </x:c>
      <x:c r="E1116" s="13" t="str">
        <x:v>Zagueiro</x:v>
      </x:c>
      <x:c r="F1116" s="13" t="str">
        <x:v>Al-Ahli SFC</x:v>
      </x:c>
      <x:c r="G1116" s="16"/>
      <x:c r="H1116" s="16"/>
      <x:c r="I1116" s="16"/>
      <x:c r="J1116" s="16"/>
      <x:c r="K1116" s="16" t="str">
        <x:f>IF(COUNT(G1116,I1116)=0,"",AVERAGE(G1116,I1116))</x:f>
      </x:c>
      <x:c r="L1116" s="16" t="str">
        <x:f>IF(COUNT(H1116,J1116)=0,"",AVERAGE(H1116,J1116))</x:f>
      </x:c>
      <x:c r="M1116" s="16" t="str">
        <x:f>IF(OR(K1116="",L1116=""),"",L1116-K1116)</x:f>
      </x:c>
      <x:c r="N1116" s="16" t="str">
        <x:f>IF(AND(A1116=A1115,ISNUMBER(K1116),ISNUMBER(K1115)),K1116-K1115,"")</x:f>
      </x:c>
      <x:c r="O1116" s="13" t="str">
        <x:v>Sem informação</x:v>
      </x:c>
      <x:c r="P1116" s="26"/>
      <x:c r="Q1116" s="13" t="str"/>
      <x:c r="R1116" s="13" t="str"/>
      <x:c r="S1116" s="13" t="str"/>
      <x:c r="T1116" s="13" t="str"/>
    </x:row>
    <x:row r="1117">
      <x:c r="A1117" s="13" t="str">
        <x:v>Roger Ibañez</x:v>
      </x:c>
      <x:c r="B1117" s="13" t="n">
        <x:v>2029</x:v>
      </x:c>
      <x:c r="C1117" s="13" t="str">
        <x:v>T4</x:v>
      </x:c>
      <x:c r="D1117" s="24" t="n">
        <x:v>47483</x:v>
      </x:c>
      <x:c r="E1117" s="13" t="str">
        <x:v>Zagueiro</x:v>
      </x:c>
      <x:c r="F1117" s="13" t="str">
        <x:v>Al-Ahli SFC</x:v>
      </x:c>
      <x:c r="G1117" s="16"/>
      <x:c r="H1117" s="16"/>
      <x:c r="I1117" s="16"/>
      <x:c r="J1117" s="16"/>
      <x:c r="K1117" s="16" t="str">
        <x:f>IF(COUNT(G1117,I1117)=0,"",AVERAGE(G1117,I1117))</x:f>
      </x:c>
      <x:c r="L1117" s="16" t="str">
        <x:f>IF(COUNT(H1117,J1117)=0,"",AVERAGE(H1117,J1117))</x:f>
      </x:c>
      <x:c r="M1117" s="16" t="str">
        <x:f>IF(OR(K1117="",L1117=""),"",L1117-K1117)</x:f>
      </x:c>
      <x:c r="N1117" s="16" t="str">
        <x:f>IF(AND(A1117=A1116,ISNUMBER(K1117),ISNUMBER(K1116)),K1117-K1116,"")</x:f>
      </x:c>
      <x:c r="O1117" s="13" t="str">
        <x:v>Sem informação</x:v>
      </x:c>
      <x:c r="P1117" s="26"/>
      <x:c r="Q1117" s="13" t="str"/>
      <x:c r="R1117" s="13" t="str"/>
      <x:c r="S1117" s="13" t="str"/>
      <x:c r="T1117" s="13" t="str"/>
    </x:row>
    <x:row r="1118">
      <x:c r="A1118" s="13" t="str">
        <x:v>Roger Ibañez</x:v>
      </x:c>
      <x:c r="B1118" s="13" t="n">
        <x:v>2030</x:v>
      </x:c>
      <x:c r="C1118" s="13" t="str">
        <x:v>T1</x:v>
      </x:c>
      <x:c r="D1118" s="24" t="n">
        <x:v>47573</x:v>
      </x:c>
      <x:c r="E1118" s="13" t="str">
        <x:v>Zagueiro</x:v>
      </x:c>
      <x:c r="F1118" s="13" t="str">
        <x:v>Al-Ahli SFC</x:v>
      </x:c>
      <x:c r="G1118" s="16"/>
      <x:c r="H1118" s="16"/>
      <x:c r="I1118" s="16"/>
      <x:c r="J1118" s="16"/>
      <x:c r="K1118" s="16" t="str">
        <x:f>IF(COUNT(G1118,I1118)=0,"",AVERAGE(G1118,I1118))</x:f>
      </x:c>
      <x:c r="L1118" s="16" t="str">
        <x:f>IF(COUNT(H1118,J1118)=0,"",AVERAGE(H1118,J1118))</x:f>
      </x:c>
      <x:c r="M1118" s="16" t="str">
        <x:f>IF(OR(K1118="",L1118=""),"",L1118-K1118)</x:f>
      </x:c>
      <x:c r="N1118" s="16" t="str">
        <x:f>IF(AND(A1118=A1117,ISNUMBER(K1118),ISNUMBER(K1117)),K1118-K1117,"")</x:f>
      </x:c>
      <x:c r="O1118" s="13" t="str">
        <x:v>Sem informação</x:v>
      </x:c>
      <x:c r="P1118" s="26"/>
      <x:c r="Q1118" s="13" t="str"/>
      <x:c r="R1118" s="13" t="str"/>
      <x:c r="S1118" s="13" t="str"/>
      <x:c r="T1118" s="13" t="str"/>
    </x:row>
    <x:row r="1119">
      <x:c r="A1119" s="13" t="str">
        <x:v>Roger Ibañez</x:v>
      </x:c>
      <x:c r="B1119" s="13" t="n">
        <x:v>2030</x:v>
      </x:c>
      <x:c r="C1119" s="13" t="str">
        <x:v>T2</x:v>
      </x:c>
      <x:c r="D1119" s="24" t="n">
        <x:v>47664</x:v>
      </x:c>
      <x:c r="E1119" s="13" t="str">
        <x:v>Zagueiro</x:v>
      </x:c>
      <x:c r="F1119" s="13" t="str">
        <x:v>Al-Ahli SFC</x:v>
      </x:c>
      <x:c r="G1119" s="16"/>
      <x:c r="H1119" s="16"/>
      <x:c r="I1119" s="16"/>
      <x:c r="J1119" s="16"/>
      <x:c r="K1119" s="16" t="str">
        <x:f>IF(COUNT(G1119,I1119)=0,"",AVERAGE(G1119,I1119))</x:f>
      </x:c>
      <x:c r="L1119" s="16" t="str">
        <x:f>IF(COUNT(H1119,J1119)=0,"",AVERAGE(H1119,J1119))</x:f>
      </x:c>
      <x:c r="M1119" s="16" t="str">
        <x:f>IF(OR(K1119="",L1119=""),"",L1119-K1119)</x:f>
      </x:c>
      <x:c r="N1119" s="16" t="str">
        <x:f>IF(AND(A1119=A1118,ISNUMBER(K1119),ISNUMBER(K1118)),K1119-K1118,"")</x:f>
      </x:c>
      <x:c r="O1119" s="13" t="str">
        <x:v>Sem informação</x:v>
      </x:c>
      <x:c r="P1119" s="26"/>
      <x:c r="Q1119" s="13" t="str"/>
      <x:c r="R1119" s="13" t="str"/>
      <x:c r="S1119" s="13" t="str"/>
      <x:c r="T1119" s="13" t="str"/>
    </x:row>
    <x:row r="1120">
      <x:c r="A1120" s="13" t="str">
        <x:v>Roger Ibañez</x:v>
      </x:c>
      <x:c r="B1120" s="13" t="n">
        <x:v>2030</x:v>
      </x:c>
      <x:c r="C1120" s="13" t="str">
        <x:v>T3</x:v>
      </x:c>
      <x:c r="D1120" s="24" t="n">
        <x:v>47756</x:v>
      </x:c>
      <x:c r="E1120" s="13" t="str">
        <x:v>Zagueiro</x:v>
      </x:c>
      <x:c r="F1120" s="13" t="str">
        <x:v>Al-Ahli SFC</x:v>
      </x:c>
      <x:c r="G1120" s="16"/>
      <x:c r="H1120" s="16"/>
      <x:c r="I1120" s="16"/>
      <x:c r="J1120" s="16"/>
      <x:c r="K1120" s="16" t="str">
        <x:f>IF(COUNT(G1120,I1120)=0,"",AVERAGE(G1120,I1120))</x:f>
      </x:c>
      <x:c r="L1120" s="16" t="str">
        <x:f>IF(COUNT(H1120,J1120)=0,"",AVERAGE(H1120,J1120))</x:f>
      </x:c>
      <x:c r="M1120" s="16" t="str">
        <x:f>IF(OR(K1120="",L1120=""),"",L1120-K1120)</x:f>
      </x:c>
      <x:c r="N1120" s="16" t="str">
        <x:f>IF(AND(A1120=A1119,ISNUMBER(K1120),ISNUMBER(K1119)),K1120-K1119,"")</x:f>
      </x:c>
      <x:c r="O1120" s="13" t="str">
        <x:v>Sem informação</x:v>
      </x:c>
      <x:c r="P1120" s="26"/>
      <x:c r="Q1120" s="13" t="str"/>
      <x:c r="R1120" s="13" t="str"/>
      <x:c r="S1120" s="13" t="str"/>
      <x:c r="T1120" s="13" t="str"/>
    </x:row>
    <x:row r="1121">
      <x:c r="A1121" s="13" t="str">
        <x:v>Roger Ibañez</x:v>
      </x:c>
      <x:c r="B1121" s="13" t="n">
        <x:v>2030</x:v>
      </x:c>
      <x:c r="C1121" s="13" t="str">
        <x:v>T4</x:v>
      </x:c>
      <x:c r="D1121" s="24" t="n">
        <x:v>47848</x:v>
      </x:c>
      <x:c r="E1121" s="13" t="str">
        <x:v>Zagueiro</x:v>
      </x:c>
      <x:c r="F1121" s="13" t="str">
        <x:v>Al-Ahli SFC</x:v>
      </x:c>
      <x:c r="G1121" s="16"/>
      <x:c r="H1121" s="16"/>
      <x:c r="I1121" s="16"/>
      <x:c r="J1121" s="16"/>
      <x:c r="K1121" s="16" t="str">
        <x:f>IF(COUNT(G1121,I1121)=0,"",AVERAGE(G1121,I1121))</x:f>
      </x:c>
      <x:c r="L1121" s="16" t="str">
        <x:f>IF(COUNT(H1121,J1121)=0,"",AVERAGE(H1121,J1121))</x:f>
      </x:c>
      <x:c r="M1121" s="16" t="str">
        <x:f>IF(OR(K1121="",L1121=""),"",L1121-K1121)</x:f>
      </x:c>
      <x:c r="N1121" s="16" t="str">
        <x:f>IF(AND(A1121=A1120,ISNUMBER(K1121),ISNUMBER(K1120)),K1121-K1120,"")</x:f>
      </x:c>
      <x:c r="O1121" s="13" t="str">
        <x:v>Sem informação</x:v>
      </x:c>
      <x:c r="P1121" s="26"/>
      <x:c r="Q1121" s="13" t="str"/>
      <x:c r="R1121" s="13" t="str"/>
      <x:c r="S1121" s="13" t="str"/>
      <x:c r="T1121" s="13" t="str"/>
    </x:row>
    <x:row r="1122">
      <x:c r="A1122" s="13" t="str">
        <x:v>Vanderson</x:v>
      </x:c>
      <x:c r="B1122" s="13" t="n">
        <x:v>2026</x:v>
      </x:c>
      <x:c r="C1122" s="13" t="str">
        <x:v>T1</x:v>
      </x:c>
      <x:c r="D1122" s="24" t="n">
        <x:v>46112</x:v>
      </x:c>
      <x:c r="E1122" s="13" t="str">
        <x:v>Lateral-direito</x:v>
      </x:c>
      <x:c r="F1122" s="13" t="str">
        <x:v>AS Monaco</x:v>
      </x:c>
      <x:c r="G1122" s="16"/>
      <x:c r="H1122" s="16"/>
      <x:c r="I1122" s="16"/>
      <x:c r="J1122" s="16"/>
      <x:c r="K1122" s="16" t="str">
        <x:f>IF(COUNT(G1122,I1122)=0,"",AVERAGE(G1122,I1122))</x:f>
      </x:c>
      <x:c r="L1122" s="16" t="str">
        <x:f>IF(COUNT(H1122,J1122)=0,"",AVERAGE(H1122,J1122))</x:f>
      </x:c>
      <x:c r="M1122" s="16" t="str">
        <x:f>IF(OR(K1122="",L1122=""),"",L1122-K1122)</x:f>
      </x:c>
      <x:c r="N1122" s="16" t="str">
        <x:f>""</x:f>
      </x:c>
      <x:c r="O1122" s="13" t="str">
        <x:v>Sem informação</x:v>
      </x:c>
      <x:c r="P1122" s="26"/>
      <x:c r="Q1122" s="13" t="str"/>
      <x:c r="R1122" s="13" t="str"/>
      <x:c r="S1122" s="13" t="str"/>
      <x:c r="T1122" s="13" t="str"/>
    </x:row>
    <x:row r="1123">
      <x:c r="A1123" s="13" t="str">
        <x:v>Vanderson</x:v>
      </x:c>
      <x:c r="B1123" s="13" t="n">
        <x:v>2026</x:v>
      </x:c>
      <x:c r="C1123" s="13" t="str">
        <x:v>T2</x:v>
      </x:c>
      <x:c r="D1123" s="24" t="n">
        <x:v>46203</x:v>
      </x:c>
      <x:c r="E1123" s="13" t="str">
        <x:v>Lateral-direito</x:v>
      </x:c>
      <x:c r="F1123" s="13" t="str">
        <x:v>AS Monaco</x:v>
      </x:c>
      <x:c r="G1123" s="16"/>
      <x:c r="H1123" s="16"/>
      <x:c r="I1123" s="16"/>
      <x:c r="J1123" s="16"/>
      <x:c r="K1123" s="16" t="str">
        <x:f>IF(COUNT(G1123,I1123)=0,"",AVERAGE(G1123,I1123))</x:f>
      </x:c>
      <x:c r="L1123" s="16" t="str">
        <x:f>IF(COUNT(H1123,J1123)=0,"",AVERAGE(H1123,J1123))</x:f>
      </x:c>
      <x:c r="M1123" s="16" t="str">
        <x:f>IF(OR(K1123="",L1123=""),"",L1123-K1123)</x:f>
      </x:c>
      <x:c r="N1123" s="16" t="str">
        <x:f>IF(AND(A1123=A1122,ISNUMBER(K1123),ISNUMBER(K1122)),K1123-K1122,"")</x:f>
      </x:c>
      <x:c r="O1123" s="13" t="str">
        <x:v>Sem informação</x:v>
      </x:c>
      <x:c r="P1123" s="26"/>
      <x:c r="Q1123" s="13" t="str"/>
      <x:c r="R1123" s="13" t="str"/>
      <x:c r="S1123" s="13" t="str"/>
      <x:c r="T1123" s="13" t="str"/>
    </x:row>
    <x:row r="1124">
      <x:c r="A1124" s="13" t="str">
        <x:v>Vanderson</x:v>
      </x:c>
      <x:c r="B1124" s="13" t="n">
        <x:v>2026</x:v>
      </x:c>
      <x:c r="C1124" s="13" t="str">
        <x:v>T3</x:v>
      </x:c>
      <x:c r="D1124" s="24" t="n">
        <x:v>46295</x:v>
      </x:c>
      <x:c r="E1124" s="13" t="str">
        <x:v>Lateral-direito</x:v>
      </x:c>
      <x:c r="F1124" s="13" t="str">
        <x:v>AS Monaco</x:v>
      </x:c>
      <x:c r="G1124" s="16"/>
      <x:c r="H1124" s="16"/>
      <x:c r="I1124" s="16"/>
      <x:c r="J1124" s="16"/>
      <x:c r="K1124" s="16" t="str">
        <x:f>IF(COUNT(G1124,I1124)=0,"",AVERAGE(G1124,I1124))</x:f>
      </x:c>
      <x:c r="L1124" s="16" t="str">
        <x:f>IF(COUNT(H1124,J1124)=0,"",AVERAGE(H1124,J1124))</x:f>
      </x:c>
      <x:c r="M1124" s="16" t="str">
        <x:f>IF(OR(K1124="",L1124=""),"",L1124-K1124)</x:f>
      </x:c>
      <x:c r="N1124" s="16" t="str">
        <x:f>IF(AND(A1124=A1123,ISNUMBER(K1124),ISNUMBER(K1123)),K1124-K1123,"")</x:f>
      </x:c>
      <x:c r="O1124" s="13" t="str">
        <x:v>Sem informação</x:v>
      </x:c>
      <x:c r="P1124" s="26"/>
      <x:c r="Q1124" s="13" t="str"/>
      <x:c r="R1124" s="13" t="str"/>
      <x:c r="S1124" s="13" t="str"/>
      <x:c r="T1124" s="13" t="str"/>
    </x:row>
    <x:row r="1125">
      <x:c r="A1125" s="13" t="str">
        <x:v>Vanderson</x:v>
      </x:c>
      <x:c r="B1125" s="13" t="n">
        <x:v>2026</x:v>
      </x:c>
      <x:c r="C1125" s="13" t="str">
        <x:v>T4</x:v>
      </x:c>
      <x:c r="D1125" s="24" t="n">
        <x:v>46387</x:v>
      </x:c>
      <x:c r="E1125" s="13" t="str">
        <x:v>Lateral-direito</x:v>
      </x:c>
      <x:c r="F1125" s="13" t="str">
        <x:v>AS Monaco</x:v>
      </x:c>
      <x:c r="G1125" s="16"/>
      <x:c r="H1125" s="16"/>
      <x:c r="I1125" s="16"/>
      <x:c r="J1125" s="16"/>
      <x:c r="K1125" s="16" t="str">
        <x:f>IF(COUNT(G1125,I1125)=0,"",AVERAGE(G1125,I1125))</x:f>
      </x:c>
      <x:c r="L1125" s="16" t="str">
        <x:f>IF(COUNT(H1125,J1125)=0,"",AVERAGE(H1125,J1125))</x:f>
      </x:c>
      <x:c r="M1125" s="16" t="str">
        <x:f>IF(OR(K1125="",L1125=""),"",L1125-K1125)</x:f>
      </x:c>
      <x:c r="N1125" s="16" t="str">
        <x:f>IF(AND(A1125=A1124,ISNUMBER(K1125),ISNUMBER(K1124)),K1125-K1124,"")</x:f>
      </x:c>
      <x:c r="O1125" s="13" t="str">
        <x:v>Sem informação</x:v>
      </x:c>
      <x:c r="P1125" s="26"/>
      <x:c r="Q1125" s="13" t="str"/>
      <x:c r="R1125" s="13" t="str"/>
      <x:c r="S1125" s="13" t="str"/>
      <x:c r="T1125" s="13" t="str"/>
    </x:row>
    <x:row r="1126">
      <x:c r="A1126" s="13" t="str">
        <x:v>Vanderson</x:v>
      </x:c>
      <x:c r="B1126" s="13" t="n">
        <x:v>2027</x:v>
      </x:c>
      <x:c r="C1126" s="13" t="str">
        <x:v>T1</x:v>
      </x:c>
      <x:c r="D1126" s="24" t="n">
        <x:v>46477</x:v>
      </x:c>
      <x:c r="E1126" s="13" t="str">
        <x:v>Lateral-direito</x:v>
      </x:c>
      <x:c r="F1126" s="13" t="str">
        <x:v>AS Monaco</x:v>
      </x:c>
      <x:c r="G1126" s="16"/>
      <x:c r="H1126" s="16"/>
      <x:c r="I1126" s="16"/>
      <x:c r="J1126" s="16"/>
      <x:c r="K1126" s="16" t="str">
        <x:f>IF(COUNT(G1126,I1126)=0,"",AVERAGE(G1126,I1126))</x:f>
      </x:c>
      <x:c r="L1126" s="16" t="str">
        <x:f>IF(COUNT(H1126,J1126)=0,"",AVERAGE(H1126,J1126))</x:f>
      </x:c>
      <x:c r="M1126" s="16" t="str">
        <x:f>IF(OR(K1126="",L1126=""),"",L1126-K1126)</x:f>
      </x:c>
      <x:c r="N1126" s="16" t="str">
        <x:f>IF(AND(A1126=A1125,ISNUMBER(K1126),ISNUMBER(K1125)),K1126-K1125,"")</x:f>
      </x:c>
      <x:c r="O1126" s="13" t="str">
        <x:v>Sem informação</x:v>
      </x:c>
      <x:c r="P1126" s="26"/>
      <x:c r="Q1126" s="13" t="str"/>
      <x:c r="R1126" s="13" t="str"/>
      <x:c r="S1126" s="13" t="str"/>
      <x:c r="T1126" s="13" t="str"/>
    </x:row>
    <x:row r="1127">
      <x:c r="A1127" s="13" t="str">
        <x:v>Vanderson</x:v>
      </x:c>
      <x:c r="B1127" s="13" t="n">
        <x:v>2027</x:v>
      </x:c>
      <x:c r="C1127" s="13" t="str">
        <x:v>T2</x:v>
      </x:c>
      <x:c r="D1127" s="24" t="n">
        <x:v>46568</x:v>
      </x:c>
      <x:c r="E1127" s="13" t="str">
        <x:v>Lateral-direito</x:v>
      </x:c>
      <x:c r="F1127" s="13" t="str">
        <x:v>AS Monaco</x:v>
      </x:c>
      <x:c r="G1127" s="16"/>
      <x:c r="H1127" s="16"/>
      <x:c r="I1127" s="16"/>
      <x:c r="J1127" s="16"/>
      <x:c r="K1127" s="16" t="str">
        <x:f>IF(COUNT(G1127,I1127)=0,"",AVERAGE(G1127,I1127))</x:f>
      </x:c>
      <x:c r="L1127" s="16" t="str">
        <x:f>IF(COUNT(H1127,J1127)=0,"",AVERAGE(H1127,J1127))</x:f>
      </x:c>
      <x:c r="M1127" s="16" t="str">
        <x:f>IF(OR(K1127="",L1127=""),"",L1127-K1127)</x:f>
      </x:c>
      <x:c r="N1127" s="16" t="str">
        <x:f>IF(AND(A1127=A1126,ISNUMBER(K1127),ISNUMBER(K1126)),K1127-K1126,"")</x:f>
      </x:c>
      <x:c r="O1127" s="13" t="str">
        <x:v>Sem informação</x:v>
      </x:c>
      <x:c r="P1127" s="26"/>
      <x:c r="Q1127" s="13" t="str"/>
      <x:c r="R1127" s="13" t="str"/>
      <x:c r="S1127" s="13" t="str"/>
      <x:c r="T1127" s="13" t="str"/>
    </x:row>
    <x:row r="1128">
      <x:c r="A1128" s="13" t="str">
        <x:v>Vanderson</x:v>
      </x:c>
      <x:c r="B1128" s="13" t="n">
        <x:v>2027</x:v>
      </x:c>
      <x:c r="C1128" s="13" t="str">
        <x:v>T3</x:v>
      </x:c>
      <x:c r="D1128" s="24" t="n">
        <x:v>46660</x:v>
      </x:c>
      <x:c r="E1128" s="13" t="str">
        <x:v>Lateral-direito</x:v>
      </x:c>
      <x:c r="F1128" s="13" t="str">
        <x:v>AS Monaco</x:v>
      </x:c>
      <x:c r="G1128" s="16"/>
      <x:c r="H1128" s="16"/>
      <x:c r="I1128" s="16"/>
      <x:c r="J1128" s="16"/>
      <x:c r="K1128" s="16" t="str">
        <x:f>IF(COUNT(G1128,I1128)=0,"",AVERAGE(G1128,I1128))</x:f>
      </x:c>
      <x:c r="L1128" s="16" t="str">
        <x:f>IF(COUNT(H1128,J1128)=0,"",AVERAGE(H1128,J1128))</x:f>
      </x:c>
      <x:c r="M1128" s="16" t="str">
        <x:f>IF(OR(K1128="",L1128=""),"",L1128-K1128)</x:f>
      </x:c>
      <x:c r="N1128" s="16" t="str">
        <x:f>IF(AND(A1128=A1127,ISNUMBER(K1128),ISNUMBER(K1127)),K1128-K1127,"")</x:f>
      </x:c>
      <x:c r="O1128" s="13" t="str">
        <x:v>Sem informação</x:v>
      </x:c>
      <x:c r="P1128" s="26"/>
      <x:c r="Q1128" s="13" t="str"/>
      <x:c r="R1128" s="13" t="str"/>
      <x:c r="S1128" s="13" t="str"/>
      <x:c r="T1128" s="13" t="str"/>
    </x:row>
    <x:row r="1129">
      <x:c r="A1129" s="13" t="str">
        <x:v>Vanderson</x:v>
      </x:c>
      <x:c r="B1129" s="13" t="n">
        <x:v>2027</x:v>
      </x:c>
      <x:c r="C1129" s="13" t="str">
        <x:v>T4</x:v>
      </x:c>
      <x:c r="D1129" s="24" t="n">
        <x:v>46752</x:v>
      </x:c>
      <x:c r="E1129" s="13" t="str">
        <x:v>Lateral-direito</x:v>
      </x:c>
      <x:c r="F1129" s="13" t="str">
        <x:v>AS Monaco</x:v>
      </x:c>
      <x:c r="G1129" s="16"/>
      <x:c r="H1129" s="16"/>
      <x:c r="I1129" s="16"/>
      <x:c r="J1129" s="16"/>
      <x:c r="K1129" s="16" t="str">
        <x:f>IF(COUNT(G1129,I1129)=0,"",AVERAGE(G1129,I1129))</x:f>
      </x:c>
      <x:c r="L1129" s="16" t="str">
        <x:f>IF(COUNT(H1129,J1129)=0,"",AVERAGE(H1129,J1129))</x:f>
      </x:c>
      <x:c r="M1129" s="16" t="str">
        <x:f>IF(OR(K1129="",L1129=""),"",L1129-K1129)</x:f>
      </x:c>
      <x:c r="N1129" s="16" t="str">
        <x:f>IF(AND(A1129=A1128,ISNUMBER(K1129),ISNUMBER(K1128)),K1129-K1128,"")</x:f>
      </x:c>
      <x:c r="O1129" s="13" t="str">
        <x:v>Sem informação</x:v>
      </x:c>
      <x:c r="P1129" s="26"/>
      <x:c r="Q1129" s="13" t="str"/>
      <x:c r="R1129" s="13" t="str"/>
      <x:c r="S1129" s="13" t="str"/>
      <x:c r="T1129" s="13" t="str"/>
    </x:row>
    <x:row r="1130">
      <x:c r="A1130" s="13" t="str">
        <x:v>Vanderson</x:v>
      </x:c>
      <x:c r="B1130" s="13" t="n">
        <x:v>2028</x:v>
      </x:c>
      <x:c r="C1130" s="13" t="str">
        <x:v>T1</x:v>
      </x:c>
      <x:c r="D1130" s="24" t="n">
        <x:v>46843</x:v>
      </x:c>
      <x:c r="E1130" s="13" t="str">
        <x:v>Lateral-direito</x:v>
      </x:c>
      <x:c r="F1130" s="13" t="str">
        <x:v>AS Monaco</x:v>
      </x:c>
      <x:c r="G1130" s="16"/>
      <x:c r="H1130" s="16"/>
      <x:c r="I1130" s="16"/>
      <x:c r="J1130" s="16"/>
      <x:c r="K1130" s="16" t="str">
        <x:f>IF(COUNT(G1130,I1130)=0,"",AVERAGE(G1130,I1130))</x:f>
      </x:c>
      <x:c r="L1130" s="16" t="str">
        <x:f>IF(COUNT(H1130,J1130)=0,"",AVERAGE(H1130,J1130))</x:f>
      </x:c>
      <x:c r="M1130" s="16" t="str">
        <x:f>IF(OR(K1130="",L1130=""),"",L1130-K1130)</x:f>
      </x:c>
      <x:c r="N1130" s="16" t="str">
        <x:f>IF(AND(A1130=A1129,ISNUMBER(K1130),ISNUMBER(K1129)),K1130-K1129,"")</x:f>
      </x:c>
      <x:c r="O1130" s="13" t="str">
        <x:v>Sem informação</x:v>
      </x:c>
      <x:c r="P1130" s="26"/>
      <x:c r="Q1130" s="13" t="str"/>
      <x:c r="R1130" s="13" t="str"/>
      <x:c r="S1130" s="13" t="str"/>
      <x:c r="T1130" s="13" t="str"/>
    </x:row>
    <x:row r="1131">
      <x:c r="A1131" s="13" t="str">
        <x:v>Vanderson</x:v>
      </x:c>
      <x:c r="B1131" s="13" t="n">
        <x:v>2028</x:v>
      </x:c>
      <x:c r="C1131" s="13" t="str">
        <x:v>T2</x:v>
      </x:c>
      <x:c r="D1131" s="24" t="n">
        <x:v>46934</x:v>
      </x:c>
      <x:c r="E1131" s="13" t="str">
        <x:v>Lateral-direito</x:v>
      </x:c>
      <x:c r="F1131" s="13" t="str">
        <x:v>AS Monaco</x:v>
      </x:c>
      <x:c r="G1131" s="16"/>
      <x:c r="H1131" s="16"/>
      <x:c r="I1131" s="16"/>
      <x:c r="J1131" s="16"/>
      <x:c r="K1131" s="16" t="str">
        <x:f>IF(COUNT(G1131,I1131)=0,"",AVERAGE(G1131,I1131))</x:f>
      </x:c>
      <x:c r="L1131" s="16" t="str">
        <x:f>IF(COUNT(H1131,J1131)=0,"",AVERAGE(H1131,J1131))</x:f>
      </x:c>
      <x:c r="M1131" s="16" t="str">
        <x:f>IF(OR(K1131="",L1131=""),"",L1131-K1131)</x:f>
      </x:c>
      <x:c r="N1131" s="16" t="str">
        <x:f>IF(AND(A1131=A1130,ISNUMBER(K1131),ISNUMBER(K1130)),K1131-K1130,"")</x:f>
      </x:c>
      <x:c r="O1131" s="13" t="str">
        <x:v>Sem informação</x:v>
      </x:c>
      <x:c r="P1131" s="26"/>
      <x:c r="Q1131" s="13" t="str"/>
      <x:c r="R1131" s="13" t="str"/>
      <x:c r="S1131" s="13" t="str"/>
      <x:c r="T1131" s="13" t="str"/>
    </x:row>
    <x:row r="1132">
      <x:c r="A1132" s="13" t="str">
        <x:v>Vanderson</x:v>
      </x:c>
      <x:c r="B1132" s="13" t="n">
        <x:v>2028</x:v>
      </x:c>
      <x:c r="C1132" s="13" t="str">
        <x:v>T3</x:v>
      </x:c>
      <x:c r="D1132" s="24" t="n">
        <x:v>47026</x:v>
      </x:c>
      <x:c r="E1132" s="13" t="str">
        <x:v>Lateral-direito</x:v>
      </x:c>
      <x:c r="F1132" s="13" t="str">
        <x:v>AS Monaco</x:v>
      </x:c>
      <x:c r="G1132" s="16"/>
      <x:c r="H1132" s="16"/>
      <x:c r="I1132" s="16"/>
      <x:c r="J1132" s="16"/>
      <x:c r="K1132" s="16" t="str">
        <x:f>IF(COUNT(G1132,I1132)=0,"",AVERAGE(G1132,I1132))</x:f>
      </x:c>
      <x:c r="L1132" s="16" t="str">
        <x:f>IF(COUNT(H1132,J1132)=0,"",AVERAGE(H1132,J1132))</x:f>
      </x:c>
      <x:c r="M1132" s="16" t="str">
        <x:f>IF(OR(K1132="",L1132=""),"",L1132-K1132)</x:f>
      </x:c>
      <x:c r="N1132" s="16" t="str">
        <x:f>IF(AND(A1132=A1131,ISNUMBER(K1132),ISNUMBER(K1131)),K1132-K1131,"")</x:f>
      </x:c>
      <x:c r="O1132" s="13" t="str">
        <x:v>Sem informação</x:v>
      </x:c>
      <x:c r="P1132" s="26"/>
      <x:c r="Q1132" s="13" t="str"/>
      <x:c r="R1132" s="13" t="str"/>
      <x:c r="S1132" s="13" t="str"/>
      <x:c r="T1132" s="13" t="str"/>
    </x:row>
    <x:row r="1133">
      <x:c r="A1133" s="13" t="str">
        <x:v>Vanderson</x:v>
      </x:c>
      <x:c r="B1133" s="13" t="n">
        <x:v>2028</x:v>
      </x:c>
      <x:c r="C1133" s="13" t="str">
        <x:v>T4</x:v>
      </x:c>
      <x:c r="D1133" s="24" t="n">
        <x:v>47118</x:v>
      </x:c>
      <x:c r="E1133" s="13" t="str">
        <x:v>Lateral-direito</x:v>
      </x:c>
      <x:c r="F1133" s="13" t="str">
        <x:v>AS Monaco</x:v>
      </x:c>
      <x:c r="G1133" s="16"/>
      <x:c r="H1133" s="16"/>
      <x:c r="I1133" s="16"/>
      <x:c r="J1133" s="16"/>
      <x:c r="K1133" s="16" t="str">
        <x:f>IF(COUNT(G1133,I1133)=0,"",AVERAGE(G1133,I1133))</x:f>
      </x:c>
      <x:c r="L1133" s="16" t="str">
        <x:f>IF(COUNT(H1133,J1133)=0,"",AVERAGE(H1133,J1133))</x:f>
      </x:c>
      <x:c r="M1133" s="16" t="str">
        <x:f>IF(OR(K1133="",L1133=""),"",L1133-K1133)</x:f>
      </x:c>
      <x:c r="N1133" s="16" t="str">
        <x:f>IF(AND(A1133=A1132,ISNUMBER(K1133),ISNUMBER(K1132)),K1133-K1132,"")</x:f>
      </x:c>
      <x:c r="O1133" s="13" t="str">
        <x:v>Sem informação</x:v>
      </x:c>
      <x:c r="P1133" s="26"/>
      <x:c r="Q1133" s="13" t="str"/>
      <x:c r="R1133" s="13" t="str"/>
      <x:c r="S1133" s="13" t="str"/>
      <x:c r="T1133" s="13" t="str"/>
    </x:row>
    <x:row r="1134">
      <x:c r="A1134" s="13" t="str">
        <x:v>Vanderson</x:v>
      </x:c>
      <x:c r="B1134" s="13" t="n">
        <x:v>2029</x:v>
      </x:c>
      <x:c r="C1134" s="13" t="str">
        <x:v>T1</x:v>
      </x:c>
      <x:c r="D1134" s="24" t="n">
        <x:v>47208</x:v>
      </x:c>
      <x:c r="E1134" s="13" t="str">
        <x:v>Lateral-direito</x:v>
      </x:c>
      <x:c r="F1134" s="13" t="str">
        <x:v>AS Monaco</x:v>
      </x:c>
      <x:c r="G1134" s="16"/>
      <x:c r="H1134" s="16"/>
      <x:c r="I1134" s="16"/>
      <x:c r="J1134" s="16"/>
      <x:c r="K1134" s="16" t="str">
        <x:f>IF(COUNT(G1134,I1134)=0,"",AVERAGE(G1134,I1134))</x:f>
      </x:c>
      <x:c r="L1134" s="16" t="str">
        <x:f>IF(COUNT(H1134,J1134)=0,"",AVERAGE(H1134,J1134))</x:f>
      </x:c>
      <x:c r="M1134" s="16" t="str">
        <x:f>IF(OR(K1134="",L1134=""),"",L1134-K1134)</x:f>
      </x:c>
      <x:c r="N1134" s="16" t="str">
        <x:f>IF(AND(A1134=A1133,ISNUMBER(K1134),ISNUMBER(K1133)),K1134-K1133,"")</x:f>
      </x:c>
      <x:c r="O1134" s="13" t="str">
        <x:v>Sem informação</x:v>
      </x:c>
      <x:c r="P1134" s="26"/>
      <x:c r="Q1134" s="13" t="str"/>
      <x:c r="R1134" s="13" t="str"/>
      <x:c r="S1134" s="13" t="str"/>
      <x:c r="T1134" s="13" t="str"/>
    </x:row>
    <x:row r="1135">
      <x:c r="A1135" s="13" t="str">
        <x:v>Vanderson</x:v>
      </x:c>
      <x:c r="B1135" s="13" t="n">
        <x:v>2029</x:v>
      </x:c>
      <x:c r="C1135" s="13" t="str">
        <x:v>T2</x:v>
      </x:c>
      <x:c r="D1135" s="24" t="n">
        <x:v>47299</x:v>
      </x:c>
      <x:c r="E1135" s="13" t="str">
        <x:v>Lateral-direito</x:v>
      </x:c>
      <x:c r="F1135" s="13" t="str">
        <x:v>AS Monaco</x:v>
      </x:c>
      <x:c r="G1135" s="16"/>
      <x:c r="H1135" s="16"/>
      <x:c r="I1135" s="16"/>
      <x:c r="J1135" s="16"/>
      <x:c r="K1135" s="16" t="str">
        <x:f>IF(COUNT(G1135,I1135)=0,"",AVERAGE(G1135,I1135))</x:f>
      </x:c>
      <x:c r="L1135" s="16" t="str">
        <x:f>IF(COUNT(H1135,J1135)=0,"",AVERAGE(H1135,J1135))</x:f>
      </x:c>
      <x:c r="M1135" s="16" t="str">
        <x:f>IF(OR(K1135="",L1135=""),"",L1135-K1135)</x:f>
      </x:c>
      <x:c r="N1135" s="16" t="str">
        <x:f>IF(AND(A1135=A1134,ISNUMBER(K1135),ISNUMBER(K1134)),K1135-K1134,"")</x:f>
      </x:c>
      <x:c r="O1135" s="13" t="str">
        <x:v>Sem informação</x:v>
      </x:c>
      <x:c r="P1135" s="26"/>
      <x:c r="Q1135" s="13" t="str"/>
      <x:c r="R1135" s="13" t="str"/>
      <x:c r="S1135" s="13" t="str"/>
      <x:c r="T1135" s="13" t="str"/>
    </x:row>
    <x:row r="1136">
      <x:c r="A1136" s="13" t="str">
        <x:v>Vanderson</x:v>
      </x:c>
      <x:c r="B1136" s="13" t="n">
        <x:v>2029</x:v>
      </x:c>
      <x:c r="C1136" s="13" t="str">
        <x:v>T3</x:v>
      </x:c>
      <x:c r="D1136" s="24" t="n">
        <x:v>47391</x:v>
      </x:c>
      <x:c r="E1136" s="13" t="str">
        <x:v>Lateral-direito</x:v>
      </x:c>
      <x:c r="F1136" s="13" t="str">
        <x:v>AS Monaco</x:v>
      </x:c>
      <x:c r="G1136" s="16"/>
      <x:c r="H1136" s="16"/>
      <x:c r="I1136" s="16"/>
      <x:c r="J1136" s="16"/>
      <x:c r="K1136" s="16" t="str">
        <x:f>IF(COUNT(G1136,I1136)=0,"",AVERAGE(G1136,I1136))</x:f>
      </x:c>
      <x:c r="L1136" s="16" t="str">
        <x:f>IF(COUNT(H1136,J1136)=0,"",AVERAGE(H1136,J1136))</x:f>
      </x:c>
      <x:c r="M1136" s="16" t="str">
        <x:f>IF(OR(K1136="",L1136=""),"",L1136-K1136)</x:f>
      </x:c>
      <x:c r="N1136" s="16" t="str">
        <x:f>IF(AND(A1136=A1135,ISNUMBER(K1136),ISNUMBER(K1135)),K1136-K1135,"")</x:f>
      </x:c>
      <x:c r="O1136" s="13" t="str">
        <x:v>Sem informação</x:v>
      </x:c>
      <x:c r="P1136" s="26"/>
      <x:c r="Q1136" s="13" t="str"/>
      <x:c r="R1136" s="13" t="str"/>
      <x:c r="S1136" s="13" t="str"/>
      <x:c r="T1136" s="13" t="str"/>
    </x:row>
    <x:row r="1137">
      <x:c r="A1137" s="13" t="str">
        <x:v>Vanderson</x:v>
      </x:c>
      <x:c r="B1137" s="13" t="n">
        <x:v>2029</x:v>
      </x:c>
      <x:c r="C1137" s="13" t="str">
        <x:v>T4</x:v>
      </x:c>
      <x:c r="D1137" s="24" t="n">
        <x:v>47483</x:v>
      </x:c>
      <x:c r="E1137" s="13" t="str">
        <x:v>Lateral-direito</x:v>
      </x:c>
      <x:c r="F1137" s="13" t="str">
        <x:v>AS Monaco</x:v>
      </x:c>
      <x:c r="G1137" s="16"/>
      <x:c r="H1137" s="16"/>
      <x:c r="I1137" s="16"/>
      <x:c r="J1137" s="16"/>
      <x:c r="K1137" s="16" t="str">
        <x:f>IF(COUNT(G1137,I1137)=0,"",AVERAGE(G1137,I1137))</x:f>
      </x:c>
      <x:c r="L1137" s="16" t="str">
        <x:f>IF(COUNT(H1137,J1137)=0,"",AVERAGE(H1137,J1137))</x:f>
      </x:c>
      <x:c r="M1137" s="16" t="str">
        <x:f>IF(OR(K1137="",L1137=""),"",L1137-K1137)</x:f>
      </x:c>
      <x:c r="N1137" s="16" t="str">
        <x:f>IF(AND(A1137=A1136,ISNUMBER(K1137),ISNUMBER(K1136)),K1137-K1136,"")</x:f>
      </x:c>
      <x:c r="O1137" s="13" t="str">
        <x:v>Sem informação</x:v>
      </x:c>
      <x:c r="P1137" s="26"/>
      <x:c r="Q1137" s="13" t="str"/>
      <x:c r="R1137" s="13" t="str"/>
      <x:c r="S1137" s="13" t="str"/>
      <x:c r="T1137" s="13" t="str"/>
    </x:row>
    <x:row r="1138">
      <x:c r="A1138" s="13" t="str">
        <x:v>Vanderson</x:v>
      </x:c>
      <x:c r="B1138" s="13" t="n">
        <x:v>2030</x:v>
      </x:c>
      <x:c r="C1138" s="13" t="str">
        <x:v>T1</x:v>
      </x:c>
      <x:c r="D1138" s="24" t="n">
        <x:v>47573</x:v>
      </x:c>
      <x:c r="E1138" s="13" t="str">
        <x:v>Lateral-direito</x:v>
      </x:c>
      <x:c r="F1138" s="13" t="str">
        <x:v>AS Monaco</x:v>
      </x:c>
      <x:c r="G1138" s="16"/>
      <x:c r="H1138" s="16"/>
      <x:c r="I1138" s="16"/>
      <x:c r="J1138" s="16"/>
      <x:c r="K1138" s="16" t="str">
        <x:f>IF(COUNT(G1138,I1138)=0,"",AVERAGE(G1138,I1138))</x:f>
      </x:c>
      <x:c r="L1138" s="16" t="str">
        <x:f>IF(COUNT(H1138,J1138)=0,"",AVERAGE(H1138,J1138))</x:f>
      </x:c>
      <x:c r="M1138" s="16" t="str">
        <x:f>IF(OR(K1138="",L1138=""),"",L1138-K1138)</x:f>
      </x:c>
      <x:c r="N1138" s="16" t="str">
        <x:f>IF(AND(A1138=A1137,ISNUMBER(K1138),ISNUMBER(K1137)),K1138-K1137,"")</x:f>
      </x:c>
      <x:c r="O1138" s="13" t="str">
        <x:v>Sem informação</x:v>
      </x:c>
      <x:c r="P1138" s="26"/>
      <x:c r="Q1138" s="13" t="str"/>
      <x:c r="R1138" s="13" t="str"/>
      <x:c r="S1138" s="13" t="str"/>
      <x:c r="T1138" s="13" t="str"/>
    </x:row>
    <x:row r="1139">
      <x:c r="A1139" s="13" t="str">
        <x:v>Vanderson</x:v>
      </x:c>
      <x:c r="B1139" s="13" t="n">
        <x:v>2030</x:v>
      </x:c>
      <x:c r="C1139" s="13" t="str">
        <x:v>T2</x:v>
      </x:c>
      <x:c r="D1139" s="24" t="n">
        <x:v>47664</x:v>
      </x:c>
      <x:c r="E1139" s="13" t="str">
        <x:v>Lateral-direito</x:v>
      </x:c>
      <x:c r="F1139" s="13" t="str">
        <x:v>AS Monaco</x:v>
      </x:c>
      <x:c r="G1139" s="16"/>
      <x:c r="H1139" s="16"/>
      <x:c r="I1139" s="16"/>
      <x:c r="J1139" s="16"/>
      <x:c r="K1139" s="16" t="str">
        <x:f>IF(COUNT(G1139,I1139)=0,"",AVERAGE(G1139,I1139))</x:f>
      </x:c>
      <x:c r="L1139" s="16" t="str">
        <x:f>IF(COUNT(H1139,J1139)=0,"",AVERAGE(H1139,J1139))</x:f>
      </x:c>
      <x:c r="M1139" s="16" t="str">
        <x:f>IF(OR(K1139="",L1139=""),"",L1139-K1139)</x:f>
      </x:c>
      <x:c r="N1139" s="16" t="str">
        <x:f>IF(AND(A1139=A1138,ISNUMBER(K1139),ISNUMBER(K1138)),K1139-K1138,"")</x:f>
      </x:c>
      <x:c r="O1139" s="13" t="str">
        <x:v>Sem informação</x:v>
      </x:c>
      <x:c r="P1139" s="26"/>
      <x:c r="Q1139" s="13" t="str"/>
      <x:c r="R1139" s="13" t="str"/>
      <x:c r="S1139" s="13" t="str"/>
      <x:c r="T1139" s="13" t="str"/>
    </x:row>
    <x:row r="1140">
      <x:c r="A1140" s="13" t="str">
        <x:v>Vanderson</x:v>
      </x:c>
      <x:c r="B1140" s="13" t="n">
        <x:v>2030</x:v>
      </x:c>
      <x:c r="C1140" s="13" t="str">
        <x:v>T3</x:v>
      </x:c>
      <x:c r="D1140" s="24" t="n">
        <x:v>47756</x:v>
      </x:c>
      <x:c r="E1140" s="13" t="str">
        <x:v>Lateral-direito</x:v>
      </x:c>
      <x:c r="F1140" s="13" t="str">
        <x:v>AS Monaco</x:v>
      </x:c>
      <x:c r="G1140" s="16"/>
      <x:c r="H1140" s="16"/>
      <x:c r="I1140" s="16"/>
      <x:c r="J1140" s="16"/>
      <x:c r="K1140" s="16" t="str">
        <x:f>IF(COUNT(G1140,I1140)=0,"",AVERAGE(G1140,I1140))</x:f>
      </x:c>
      <x:c r="L1140" s="16" t="str">
        <x:f>IF(COUNT(H1140,J1140)=0,"",AVERAGE(H1140,J1140))</x:f>
      </x:c>
      <x:c r="M1140" s="16" t="str">
        <x:f>IF(OR(K1140="",L1140=""),"",L1140-K1140)</x:f>
      </x:c>
      <x:c r="N1140" s="16" t="str">
        <x:f>IF(AND(A1140=A1139,ISNUMBER(K1140),ISNUMBER(K1139)),K1140-K1139,"")</x:f>
      </x:c>
      <x:c r="O1140" s="13" t="str">
        <x:v>Sem informação</x:v>
      </x:c>
      <x:c r="P1140" s="26"/>
      <x:c r="Q1140" s="13" t="str"/>
      <x:c r="R1140" s="13" t="str"/>
      <x:c r="S1140" s="13" t="str"/>
      <x:c r="T1140" s="13" t="str"/>
    </x:row>
    <x:row r="1141">
      <x:c r="A1141" s="13" t="str">
        <x:v>Vanderson</x:v>
      </x:c>
      <x:c r="B1141" s="13" t="n">
        <x:v>2030</x:v>
      </x:c>
      <x:c r="C1141" s="13" t="str">
        <x:v>T4</x:v>
      </x:c>
      <x:c r="D1141" s="24" t="n">
        <x:v>47848</x:v>
      </x:c>
      <x:c r="E1141" s="13" t="str">
        <x:v>Lateral-direito</x:v>
      </x:c>
      <x:c r="F1141" s="13" t="str">
        <x:v>AS Monaco</x:v>
      </x:c>
      <x:c r="G1141" s="16"/>
      <x:c r="H1141" s="16"/>
      <x:c r="I1141" s="16"/>
      <x:c r="J1141" s="16"/>
      <x:c r="K1141" s="16" t="str">
        <x:f>IF(COUNT(G1141,I1141)=0,"",AVERAGE(G1141,I1141))</x:f>
      </x:c>
      <x:c r="L1141" s="16" t="str">
        <x:f>IF(COUNT(H1141,J1141)=0,"",AVERAGE(H1141,J1141))</x:f>
      </x:c>
      <x:c r="M1141" s="16" t="str">
        <x:f>IF(OR(K1141="",L1141=""),"",L1141-K1141)</x:f>
      </x:c>
      <x:c r="N1141" s="16" t="str">
        <x:f>IF(AND(A1141=A1140,ISNUMBER(K1141),ISNUMBER(K1140)),K1141-K1140,"")</x:f>
      </x:c>
      <x:c r="O1141" s="13" t="str">
        <x:v>Sem informação</x:v>
      </x:c>
      <x:c r="P1141" s="26"/>
      <x:c r="Q1141" s="13" t="str"/>
      <x:c r="R1141" s="13" t="str"/>
      <x:c r="S1141" s="13" t="str"/>
      <x:c r="T1141" s="13" t="str"/>
    </x:row>
    <x:row r="1142">
      <x:c r="A1142" s="13" t="str">
        <x:v>Vitor Roque</x:v>
      </x:c>
      <x:c r="B1142" s="13" t="n">
        <x:v>2026</x:v>
      </x:c>
      <x:c r="C1142" s="13" t="str">
        <x:v>T1</x:v>
      </x:c>
      <x:c r="D1142" s="24" t="n">
        <x:v>46112</x:v>
      </x:c>
      <x:c r="E1142" s="13" t="str">
        <x:v>Centroavante</x:v>
      </x:c>
      <x:c r="F1142" s="13" t="str">
        <x:v>SE Palmeiras</x:v>
      </x:c>
      <x:c r="G1142" s="16"/>
      <x:c r="H1142" s="16"/>
      <x:c r="I1142" s="16"/>
      <x:c r="J1142" s="16"/>
      <x:c r="K1142" s="16" t="str">
        <x:f>IF(COUNT(G1142,I1142)=0,"",AVERAGE(G1142,I1142))</x:f>
      </x:c>
      <x:c r="L1142" s="16" t="str">
        <x:f>IF(COUNT(H1142,J1142)=0,"",AVERAGE(H1142,J1142))</x:f>
      </x:c>
      <x:c r="M1142" s="16" t="str">
        <x:f>IF(OR(K1142="",L1142=""),"",L1142-K1142)</x:f>
      </x:c>
      <x:c r="N1142" s="16" t="str">
        <x:f>""</x:f>
      </x:c>
      <x:c r="O1142" s="13" t="str">
        <x:v>Sem informação</x:v>
      </x:c>
      <x:c r="P1142" s="26"/>
      <x:c r="Q1142" s="13" t="str"/>
      <x:c r="R1142" s="13" t="str"/>
      <x:c r="S1142" s="13" t="str"/>
      <x:c r="T1142" s="13" t="str"/>
    </x:row>
    <x:row r="1143">
      <x:c r="A1143" s="13" t="str">
        <x:v>Vitor Roque</x:v>
      </x:c>
      <x:c r="B1143" s="13" t="n">
        <x:v>2026</x:v>
      </x:c>
      <x:c r="C1143" s="13" t="str">
        <x:v>T2</x:v>
      </x:c>
      <x:c r="D1143" s="24" t="n">
        <x:v>46203</x:v>
      </x:c>
      <x:c r="E1143" s="13" t="str">
        <x:v>Centroavante</x:v>
      </x:c>
      <x:c r="F1143" s="13" t="str">
        <x:v>SE Palmeiras</x:v>
      </x:c>
      <x:c r="G1143" s="16"/>
      <x:c r="H1143" s="16"/>
      <x:c r="I1143" s="16"/>
      <x:c r="J1143" s="16"/>
      <x:c r="K1143" s="16" t="str">
        <x:f>IF(COUNT(G1143,I1143)=0,"",AVERAGE(G1143,I1143))</x:f>
      </x:c>
      <x:c r="L1143" s="16" t="str">
        <x:f>IF(COUNT(H1143,J1143)=0,"",AVERAGE(H1143,J1143))</x:f>
      </x:c>
      <x:c r="M1143" s="16" t="str">
        <x:f>IF(OR(K1143="",L1143=""),"",L1143-K1143)</x:f>
      </x:c>
      <x:c r="N1143" s="16" t="str">
        <x:f>IF(AND(A1143=A1142,ISNUMBER(K1143),ISNUMBER(K1142)),K1143-K1142,"")</x:f>
      </x:c>
      <x:c r="O1143" s="13" t="str">
        <x:v>Sem informação</x:v>
      </x:c>
      <x:c r="P1143" s="26"/>
      <x:c r="Q1143" s="13" t="str"/>
      <x:c r="R1143" s="13" t="str"/>
      <x:c r="S1143" s="13" t="str"/>
      <x:c r="T1143" s="13" t="str"/>
    </x:row>
    <x:row r="1144">
      <x:c r="A1144" s="13" t="str">
        <x:v>Vitor Roque</x:v>
      </x:c>
      <x:c r="B1144" s="13" t="n">
        <x:v>2026</x:v>
      </x:c>
      <x:c r="C1144" s="13" t="str">
        <x:v>T3</x:v>
      </x:c>
      <x:c r="D1144" s="24" t="n">
        <x:v>46295</x:v>
      </x:c>
      <x:c r="E1144" s="13" t="str">
        <x:v>Centroavante</x:v>
      </x:c>
      <x:c r="F1144" s="13" t="str">
        <x:v>SE Palmeiras</x:v>
      </x:c>
      <x:c r="G1144" s="16"/>
      <x:c r="H1144" s="16"/>
      <x:c r="I1144" s="16"/>
      <x:c r="J1144" s="16"/>
      <x:c r="K1144" s="16" t="str">
        <x:f>IF(COUNT(G1144,I1144)=0,"",AVERAGE(G1144,I1144))</x:f>
      </x:c>
      <x:c r="L1144" s="16" t="str">
        <x:f>IF(COUNT(H1144,J1144)=0,"",AVERAGE(H1144,J1144))</x:f>
      </x:c>
      <x:c r="M1144" s="16" t="str">
        <x:f>IF(OR(K1144="",L1144=""),"",L1144-K1144)</x:f>
      </x:c>
      <x:c r="N1144" s="16" t="str">
        <x:f>IF(AND(A1144=A1143,ISNUMBER(K1144),ISNUMBER(K1143)),K1144-K1143,"")</x:f>
      </x:c>
      <x:c r="O1144" s="13" t="str">
        <x:v>Sem informação</x:v>
      </x:c>
      <x:c r="P1144" s="26"/>
      <x:c r="Q1144" s="13" t="str"/>
      <x:c r="R1144" s="13" t="str"/>
      <x:c r="S1144" s="13" t="str"/>
      <x:c r="T1144" s="13" t="str"/>
    </x:row>
    <x:row r="1145">
      <x:c r="A1145" s="13" t="str">
        <x:v>Vitor Roque</x:v>
      </x:c>
      <x:c r="B1145" s="13" t="n">
        <x:v>2026</x:v>
      </x:c>
      <x:c r="C1145" s="13" t="str">
        <x:v>T4</x:v>
      </x:c>
      <x:c r="D1145" s="24" t="n">
        <x:v>46387</x:v>
      </x:c>
      <x:c r="E1145" s="13" t="str">
        <x:v>Centroavante</x:v>
      </x:c>
      <x:c r="F1145" s="13" t="str">
        <x:v>SE Palmeiras</x:v>
      </x:c>
      <x:c r="G1145" s="16"/>
      <x:c r="H1145" s="16"/>
      <x:c r="I1145" s="16"/>
      <x:c r="J1145" s="16"/>
      <x:c r="K1145" s="16" t="str">
        <x:f>IF(COUNT(G1145,I1145)=0,"",AVERAGE(G1145,I1145))</x:f>
      </x:c>
      <x:c r="L1145" s="16" t="str">
        <x:f>IF(COUNT(H1145,J1145)=0,"",AVERAGE(H1145,J1145))</x:f>
      </x:c>
      <x:c r="M1145" s="16" t="str">
        <x:f>IF(OR(K1145="",L1145=""),"",L1145-K1145)</x:f>
      </x:c>
      <x:c r="N1145" s="16" t="str">
        <x:f>IF(AND(A1145=A1144,ISNUMBER(K1145),ISNUMBER(K1144)),K1145-K1144,"")</x:f>
      </x:c>
      <x:c r="O1145" s="13" t="str">
        <x:v>Sem informação</x:v>
      </x:c>
      <x:c r="P1145" s="26"/>
      <x:c r="Q1145" s="13" t="str"/>
      <x:c r="R1145" s="13" t="str"/>
      <x:c r="S1145" s="13" t="str"/>
      <x:c r="T1145" s="13" t="str"/>
    </x:row>
    <x:row r="1146">
      <x:c r="A1146" s="13" t="str">
        <x:v>Vitor Roque</x:v>
      </x:c>
      <x:c r="B1146" s="13" t="n">
        <x:v>2027</x:v>
      </x:c>
      <x:c r="C1146" s="13" t="str">
        <x:v>T1</x:v>
      </x:c>
      <x:c r="D1146" s="24" t="n">
        <x:v>46477</x:v>
      </x:c>
      <x:c r="E1146" s="13" t="str">
        <x:v>Centroavante</x:v>
      </x:c>
      <x:c r="F1146" s="13" t="str">
        <x:v>SE Palmeiras</x:v>
      </x:c>
      <x:c r="G1146" s="16"/>
      <x:c r="H1146" s="16"/>
      <x:c r="I1146" s="16"/>
      <x:c r="J1146" s="16"/>
      <x:c r="K1146" s="16" t="str">
        <x:f>IF(COUNT(G1146,I1146)=0,"",AVERAGE(G1146,I1146))</x:f>
      </x:c>
      <x:c r="L1146" s="16" t="str">
        <x:f>IF(COUNT(H1146,J1146)=0,"",AVERAGE(H1146,J1146))</x:f>
      </x:c>
      <x:c r="M1146" s="16" t="str">
        <x:f>IF(OR(K1146="",L1146=""),"",L1146-K1146)</x:f>
      </x:c>
      <x:c r="N1146" s="16" t="str">
        <x:f>IF(AND(A1146=A1145,ISNUMBER(K1146),ISNUMBER(K1145)),K1146-K1145,"")</x:f>
      </x:c>
      <x:c r="O1146" s="13" t="str">
        <x:v>Sem informação</x:v>
      </x:c>
      <x:c r="P1146" s="26"/>
      <x:c r="Q1146" s="13" t="str"/>
      <x:c r="R1146" s="13" t="str"/>
      <x:c r="S1146" s="13" t="str"/>
      <x:c r="T1146" s="13" t="str"/>
    </x:row>
    <x:row r="1147">
      <x:c r="A1147" s="13" t="str">
        <x:v>Vitor Roque</x:v>
      </x:c>
      <x:c r="B1147" s="13" t="n">
        <x:v>2027</x:v>
      </x:c>
      <x:c r="C1147" s="13" t="str">
        <x:v>T2</x:v>
      </x:c>
      <x:c r="D1147" s="24" t="n">
        <x:v>46568</x:v>
      </x:c>
      <x:c r="E1147" s="13" t="str">
        <x:v>Centroavante</x:v>
      </x:c>
      <x:c r="F1147" s="13" t="str">
        <x:v>SE Palmeiras</x:v>
      </x:c>
      <x:c r="G1147" s="16"/>
      <x:c r="H1147" s="16"/>
      <x:c r="I1147" s="16"/>
      <x:c r="J1147" s="16"/>
      <x:c r="K1147" s="16" t="str">
        <x:f>IF(COUNT(G1147,I1147)=0,"",AVERAGE(G1147,I1147))</x:f>
      </x:c>
      <x:c r="L1147" s="16" t="str">
        <x:f>IF(COUNT(H1147,J1147)=0,"",AVERAGE(H1147,J1147))</x:f>
      </x:c>
      <x:c r="M1147" s="16" t="str">
        <x:f>IF(OR(K1147="",L1147=""),"",L1147-K1147)</x:f>
      </x:c>
      <x:c r="N1147" s="16" t="str">
        <x:f>IF(AND(A1147=A1146,ISNUMBER(K1147),ISNUMBER(K1146)),K1147-K1146,"")</x:f>
      </x:c>
      <x:c r="O1147" s="13" t="str">
        <x:v>Sem informação</x:v>
      </x:c>
      <x:c r="P1147" s="26"/>
      <x:c r="Q1147" s="13" t="str"/>
      <x:c r="R1147" s="13" t="str"/>
      <x:c r="S1147" s="13" t="str"/>
      <x:c r="T1147" s="13" t="str"/>
    </x:row>
    <x:row r="1148">
      <x:c r="A1148" s="13" t="str">
        <x:v>Vitor Roque</x:v>
      </x:c>
      <x:c r="B1148" s="13" t="n">
        <x:v>2027</x:v>
      </x:c>
      <x:c r="C1148" s="13" t="str">
        <x:v>T3</x:v>
      </x:c>
      <x:c r="D1148" s="24" t="n">
        <x:v>46660</x:v>
      </x:c>
      <x:c r="E1148" s="13" t="str">
        <x:v>Centroavante</x:v>
      </x:c>
      <x:c r="F1148" s="13" t="str">
        <x:v>SE Palmeiras</x:v>
      </x:c>
      <x:c r="G1148" s="16"/>
      <x:c r="H1148" s="16"/>
      <x:c r="I1148" s="16"/>
      <x:c r="J1148" s="16"/>
      <x:c r="K1148" s="16" t="str">
        <x:f>IF(COUNT(G1148,I1148)=0,"",AVERAGE(G1148,I1148))</x:f>
      </x:c>
      <x:c r="L1148" s="16" t="str">
        <x:f>IF(COUNT(H1148,J1148)=0,"",AVERAGE(H1148,J1148))</x:f>
      </x:c>
      <x:c r="M1148" s="16" t="str">
        <x:f>IF(OR(K1148="",L1148=""),"",L1148-K1148)</x:f>
      </x:c>
      <x:c r="N1148" s="16" t="str">
        <x:f>IF(AND(A1148=A1147,ISNUMBER(K1148),ISNUMBER(K1147)),K1148-K1147,"")</x:f>
      </x:c>
      <x:c r="O1148" s="13" t="str">
        <x:v>Sem informação</x:v>
      </x:c>
      <x:c r="P1148" s="26"/>
      <x:c r="Q1148" s="13" t="str"/>
      <x:c r="R1148" s="13" t="str"/>
      <x:c r="S1148" s="13" t="str"/>
      <x:c r="T1148" s="13" t="str"/>
    </x:row>
    <x:row r="1149">
      <x:c r="A1149" s="13" t="str">
        <x:v>Vitor Roque</x:v>
      </x:c>
      <x:c r="B1149" s="13" t="n">
        <x:v>2027</x:v>
      </x:c>
      <x:c r="C1149" s="13" t="str">
        <x:v>T4</x:v>
      </x:c>
      <x:c r="D1149" s="24" t="n">
        <x:v>46752</x:v>
      </x:c>
      <x:c r="E1149" s="13" t="str">
        <x:v>Centroavante</x:v>
      </x:c>
      <x:c r="F1149" s="13" t="str">
        <x:v>SE Palmeiras</x:v>
      </x:c>
      <x:c r="G1149" s="16"/>
      <x:c r="H1149" s="16"/>
      <x:c r="I1149" s="16"/>
      <x:c r="J1149" s="16"/>
      <x:c r="K1149" s="16" t="str">
        <x:f>IF(COUNT(G1149,I1149)=0,"",AVERAGE(G1149,I1149))</x:f>
      </x:c>
      <x:c r="L1149" s="16" t="str">
        <x:f>IF(COUNT(H1149,J1149)=0,"",AVERAGE(H1149,J1149))</x:f>
      </x:c>
      <x:c r="M1149" s="16" t="str">
        <x:f>IF(OR(K1149="",L1149=""),"",L1149-K1149)</x:f>
      </x:c>
      <x:c r="N1149" s="16" t="str">
        <x:f>IF(AND(A1149=A1148,ISNUMBER(K1149),ISNUMBER(K1148)),K1149-K1148,"")</x:f>
      </x:c>
      <x:c r="O1149" s="13" t="str">
        <x:v>Sem informação</x:v>
      </x:c>
      <x:c r="P1149" s="26"/>
      <x:c r="Q1149" s="13" t="str"/>
      <x:c r="R1149" s="13" t="str"/>
      <x:c r="S1149" s="13" t="str"/>
      <x:c r="T1149" s="13" t="str"/>
    </x:row>
    <x:row r="1150">
      <x:c r="A1150" s="13" t="str">
        <x:v>Vitor Roque</x:v>
      </x:c>
      <x:c r="B1150" s="13" t="n">
        <x:v>2028</x:v>
      </x:c>
      <x:c r="C1150" s="13" t="str">
        <x:v>T1</x:v>
      </x:c>
      <x:c r="D1150" s="24" t="n">
        <x:v>46843</x:v>
      </x:c>
      <x:c r="E1150" s="13" t="str">
        <x:v>Centroavante</x:v>
      </x:c>
      <x:c r="F1150" s="13" t="str">
        <x:v>SE Palmeiras</x:v>
      </x:c>
      <x:c r="G1150" s="16"/>
      <x:c r="H1150" s="16"/>
      <x:c r="I1150" s="16"/>
      <x:c r="J1150" s="16"/>
      <x:c r="K1150" s="16" t="str">
        <x:f>IF(COUNT(G1150,I1150)=0,"",AVERAGE(G1150,I1150))</x:f>
      </x:c>
      <x:c r="L1150" s="16" t="str">
        <x:f>IF(COUNT(H1150,J1150)=0,"",AVERAGE(H1150,J1150))</x:f>
      </x:c>
      <x:c r="M1150" s="16" t="str">
        <x:f>IF(OR(K1150="",L1150=""),"",L1150-K1150)</x:f>
      </x:c>
      <x:c r="N1150" s="16" t="str">
        <x:f>IF(AND(A1150=A1149,ISNUMBER(K1150),ISNUMBER(K1149)),K1150-K1149,"")</x:f>
      </x:c>
      <x:c r="O1150" s="13" t="str">
        <x:v>Sem informação</x:v>
      </x:c>
      <x:c r="P1150" s="26"/>
      <x:c r="Q1150" s="13" t="str"/>
      <x:c r="R1150" s="13" t="str"/>
      <x:c r="S1150" s="13" t="str"/>
      <x:c r="T1150" s="13" t="str"/>
    </x:row>
    <x:row r="1151">
      <x:c r="A1151" s="13" t="str">
        <x:v>Vitor Roque</x:v>
      </x:c>
      <x:c r="B1151" s="13" t="n">
        <x:v>2028</x:v>
      </x:c>
      <x:c r="C1151" s="13" t="str">
        <x:v>T2</x:v>
      </x:c>
      <x:c r="D1151" s="24" t="n">
        <x:v>46934</x:v>
      </x:c>
      <x:c r="E1151" s="13" t="str">
        <x:v>Centroavante</x:v>
      </x:c>
      <x:c r="F1151" s="13" t="str">
        <x:v>SE Palmeiras</x:v>
      </x:c>
      <x:c r="G1151" s="16"/>
      <x:c r="H1151" s="16"/>
      <x:c r="I1151" s="16"/>
      <x:c r="J1151" s="16"/>
      <x:c r="K1151" s="16" t="str">
        <x:f>IF(COUNT(G1151,I1151)=0,"",AVERAGE(G1151,I1151))</x:f>
      </x:c>
      <x:c r="L1151" s="16" t="str">
        <x:f>IF(COUNT(H1151,J1151)=0,"",AVERAGE(H1151,J1151))</x:f>
      </x:c>
      <x:c r="M1151" s="16" t="str">
        <x:f>IF(OR(K1151="",L1151=""),"",L1151-K1151)</x:f>
      </x:c>
      <x:c r="N1151" s="16" t="str">
        <x:f>IF(AND(A1151=A1150,ISNUMBER(K1151),ISNUMBER(K1150)),K1151-K1150,"")</x:f>
      </x:c>
      <x:c r="O1151" s="13" t="str">
        <x:v>Sem informação</x:v>
      </x:c>
      <x:c r="P1151" s="26"/>
      <x:c r="Q1151" s="13" t="str"/>
      <x:c r="R1151" s="13" t="str"/>
      <x:c r="S1151" s="13" t="str"/>
      <x:c r="T1151" s="13" t="str"/>
    </x:row>
    <x:row r="1152">
      <x:c r="A1152" s="13" t="str">
        <x:v>Vitor Roque</x:v>
      </x:c>
      <x:c r="B1152" s="13" t="n">
        <x:v>2028</x:v>
      </x:c>
      <x:c r="C1152" s="13" t="str">
        <x:v>T3</x:v>
      </x:c>
      <x:c r="D1152" s="24" t="n">
        <x:v>47026</x:v>
      </x:c>
      <x:c r="E1152" s="13" t="str">
        <x:v>Centroavante</x:v>
      </x:c>
      <x:c r="F1152" s="13" t="str">
        <x:v>SE Palmeiras</x:v>
      </x:c>
      <x:c r="G1152" s="16"/>
      <x:c r="H1152" s="16"/>
      <x:c r="I1152" s="16"/>
      <x:c r="J1152" s="16"/>
      <x:c r="K1152" s="16" t="str">
        <x:f>IF(COUNT(G1152,I1152)=0,"",AVERAGE(G1152,I1152))</x:f>
      </x:c>
      <x:c r="L1152" s="16" t="str">
        <x:f>IF(COUNT(H1152,J1152)=0,"",AVERAGE(H1152,J1152))</x:f>
      </x:c>
      <x:c r="M1152" s="16" t="str">
        <x:f>IF(OR(K1152="",L1152=""),"",L1152-K1152)</x:f>
      </x:c>
      <x:c r="N1152" s="16" t="str">
        <x:f>IF(AND(A1152=A1151,ISNUMBER(K1152),ISNUMBER(K1151)),K1152-K1151,"")</x:f>
      </x:c>
      <x:c r="O1152" s="13" t="str">
        <x:v>Sem informação</x:v>
      </x:c>
      <x:c r="P1152" s="26"/>
      <x:c r="Q1152" s="13" t="str"/>
      <x:c r="R1152" s="13" t="str"/>
      <x:c r="S1152" s="13" t="str"/>
      <x:c r="T1152" s="13" t="str"/>
    </x:row>
    <x:row r="1153">
      <x:c r="A1153" s="13" t="str">
        <x:v>Vitor Roque</x:v>
      </x:c>
      <x:c r="B1153" s="13" t="n">
        <x:v>2028</x:v>
      </x:c>
      <x:c r="C1153" s="13" t="str">
        <x:v>T4</x:v>
      </x:c>
      <x:c r="D1153" s="24" t="n">
        <x:v>47118</x:v>
      </x:c>
      <x:c r="E1153" s="13" t="str">
        <x:v>Centroavante</x:v>
      </x:c>
      <x:c r="F1153" s="13" t="str">
        <x:v>SE Palmeiras</x:v>
      </x:c>
      <x:c r="G1153" s="16"/>
      <x:c r="H1153" s="16"/>
      <x:c r="I1153" s="16"/>
      <x:c r="J1153" s="16"/>
      <x:c r="K1153" s="16" t="str">
        <x:f>IF(COUNT(G1153,I1153)=0,"",AVERAGE(G1153,I1153))</x:f>
      </x:c>
      <x:c r="L1153" s="16" t="str">
        <x:f>IF(COUNT(H1153,J1153)=0,"",AVERAGE(H1153,J1153))</x:f>
      </x:c>
      <x:c r="M1153" s="16" t="str">
        <x:f>IF(OR(K1153="",L1153=""),"",L1153-K1153)</x:f>
      </x:c>
      <x:c r="N1153" s="16" t="str">
        <x:f>IF(AND(A1153=A1152,ISNUMBER(K1153),ISNUMBER(K1152)),K1153-K1152,"")</x:f>
      </x:c>
      <x:c r="O1153" s="13" t="str">
        <x:v>Sem informação</x:v>
      </x:c>
      <x:c r="P1153" s="26"/>
      <x:c r="Q1153" s="13" t="str"/>
      <x:c r="R1153" s="13" t="str"/>
      <x:c r="S1153" s="13" t="str"/>
      <x:c r="T1153" s="13" t="str"/>
    </x:row>
    <x:row r="1154">
      <x:c r="A1154" s="13" t="str">
        <x:v>Vitor Roque</x:v>
      </x:c>
      <x:c r="B1154" s="13" t="n">
        <x:v>2029</x:v>
      </x:c>
      <x:c r="C1154" s="13" t="str">
        <x:v>T1</x:v>
      </x:c>
      <x:c r="D1154" s="24" t="n">
        <x:v>47208</x:v>
      </x:c>
      <x:c r="E1154" s="13" t="str">
        <x:v>Centroavante</x:v>
      </x:c>
      <x:c r="F1154" s="13" t="str">
        <x:v>SE Palmeiras</x:v>
      </x:c>
      <x:c r="G1154" s="16"/>
      <x:c r="H1154" s="16"/>
      <x:c r="I1154" s="16"/>
      <x:c r="J1154" s="16"/>
      <x:c r="K1154" s="16" t="str">
        <x:f>IF(COUNT(G1154,I1154)=0,"",AVERAGE(G1154,I1154))</x:f>
      </x:c>
      <x:c r="L1154" s="16" t="str">
        <x:f>IF(COUNT(H1154,J1154)=0,"",AVERAGE(H1154,J1154))</x:f>
      </x:c>
      <x:c r="M1154" s="16" t="str">
        <x:f>IF(OR(K1154="",L1154=""),"",L1154-K1154)</x:f>
      </x:c>
      <x:c r="N1154" s="16" t="str">
        <x:f>IF(AND(A1154=A1153,ISNUMBER(K1154),ISNUMBER(K1153)),K1154-K1153,"")</x:f>
      </x:c>
      <x:c r="O1154" s="13" t="str">
        <x:v>Sem informação</x:v>
      </x:c>
      <x:c r="P1154" s="26"/>
      <x:c r="Q1154" s="13" t="str"/>
      <x:c r="R1154" s="13" t="str"/>
      <x:c r="S1154" s="13" t="str"/>
      <x:c r="T1154" s="13" t="str"/>
    </x:row>
    <x:row r="1155">
      <x:c r="A1155" s="13" t="str">
        <x:v>Vitor Roque</x:v>
      </x:c>
      <x:c r="B1155" s="13" t="n">
        <x:v>2029</x:v>
      </x:c>
      <x:c r="C1155" s="13" t="str">
        <x:v>T2</x:v>
      </x:c>
      <x:c r="D1155" s="24" t="n">
        <x:v>47299</x:v>
      </x:c>
      <x:c r="E1155" s="13" t="str">
        <x:v>Centroavante</x:v>
      </x:c>
      <x:c r="F1155" s="13" t="str">
        <x:v>SE Palmeiras</x:v>
      </x:c>
      <x:c r="G1155" s="16"/>
      <x:c r="H1155" s="16"/>
      <x:c r="I1155" s="16"/>
      <x:c r="J1155" s="16"/>
      <x:c r="K1155" s="16" t="str">
        <x:f>IF(COUNT(G1155,I1155)=0,"",AVERAGE(G1155,I1155))</x:f>
      </x:c>
      <x:c r="L1155" s="16" t="str">
        <x:f>IF(COUNT(H1155,J1155)=0,"",AVERAGE(H1155,J1155))</x:f>
      </x:c>
      <x:c r="M1155" s="16" t="str">
        <x:f>IF(OR(K1155="",L1155=""),"",L1155-K1155)</x:f>
      </x:c>
      <x:c r="N1155" s="16" t="str">
        <x:f>IF(AND(A1155=A1154,ISNUMBER(K1155),ISNUMBER(K1154)),K1155-K1154,"")</x:f>
      </x:c>
      <x:c r="O1155" s="13" t="str">
        <x:v>Sem informação</x:v>
      </x:c>
      <x:c r="P1155" s="26"/>
      <x:c r="Q1155" s="13" t="str"/>
      <x:c r="R1155" s="13" t="str"/>
      <x:c r="S1155" s="13" t="str"/>
      <x:c r="T1155" s="13" t="str"/>
    </x:row>
    <x:row r="1156">
      <x:c r="A1156" s="13" t="str">
        <x:v>Vitor Roque</x:v>
      </x:c>
      <x:c r="B1156" s="13" t="n">
        <x:v>2029</x:v>
      </x:c>
      <x:c r="C1156" s="13" t="str">
        <x:v>T3</x:v>
      </x:c>
      <x:c r="D1156" s="24" t="n">
        <x:v>47391</x:v>
      </x:c>
      <x:c r="E1156" s="13" t="str">
        <x:v>Centroavante</x:v>
      </x:c>
      <x:c r="F1156" s="13" t="str">
        <x:v>SE Palmeiras</x:v>
      </x:c>
      <x:c r="G1156" s="16"/>
      <x:c r="H1156" s="16"/>
      <x:c r="I1156" s="16"/>
      <x:c r="J1156" s="16"/>
      <x:c r="K1156" s="16" t="str">
        <x:f>IF(COUNT(G1156,I1156)=0,"",AVERAGE(G1156,I1156))</x:f>
      </x:c>
      <x:c r="L1156" s="16" t="str">
        <x:f>IF(COUNT(H1156,J1156)=0,"",AVERAGE(H1156,J1156))</x:f>
      </x:c>
      <x:c r="M1156" s="16" t="str">
        <x:f>IF(OR(K1156="",L1156=""),"",L1156-K1156)</x:f>
      </x:c>
      <x:c r="N1156" s="16" t="str">
        <x:f>IF(AND(A1156=A1155,ISNUMBER(K1156),ISNUMBER(K1155)),K1156-K1155,"")</x:f>
      </x:c>
      <x:c r="O1156" s="13" t="str">
        <x:v>Sem informação</x:v>
      </x:c>
      <x:c r="P1156" s="26"/>
      <x:c r="Q1156" s="13" t="str"/>
      <x:c r="R1156" s="13" t="str"/>
      <x:c r="S1156" s="13" t="str"/>
      <x:c r="T1156" s="13" t="str"/>
    </x:row>
    <x:row r="1157">
      <x:c r="A1157" s="13" t="str">
        <x:v>Vitor Roque</x:v>
      </x:c>
      <x:c r="B1157" s="13" t="n">
        <x:v>2029</x:v>
      </x:c>
      <x:c r="C1157" s="13" t="str">
        <x:v>T4</x:v>
      </x:c>
      <x:c r="D1157" s="24" t="n">
        <x:v>47483</x:v>
      </x:c>
      <x:c r="E1157" s="13" t="str">
        <x:v>Centroavante</x:v>
      </x:c>
      <x:c r="F1157" s="13" t="str">
        <x:v>SE Palmeiras</x:v>
      </x:c>
      <x:c r="G1157" s="16"/>
      <x:c r="H1157" s="16"/>
      <x:c r="I1157" s="16"/>
      <x:c r="J1157" s="16"/>
      <x:c r="K1157" s="16" t="str">
        <x:f>IF(COUNT(G1157,I1157)=0,"",AVERAGE(G1157,I1157))</x:f>
      </x:c>
      <x:c r="L1157" s="16" t="str">
        <x:f>IF(COUNT(H1157,J1157)=0,"",AVERAGE(H1157,J1157))</x:f>
      </x:c>
      <x:c r="M1157" s="16" t="str">
        <x:f>IF(OR(K1157="",L1157=""),"",L1157-K1157)</x:f>
      </x:c>
      <x:c r="N1157" s="16" t="str">
        <x:f>IF(AND(A1157=A1156,ISNUMBER(K1157),ISNUMBER(K1156)),K1157-K1156,"")</x:f>
      </x:c>
      <x:c r="O1157" s="13" t="str">
        <x:v>Sem informação</x:v>
      </x:c>
      <x:c r="P1157" s="26"/>
      <x:c r="Q1157" s="13" t="str"/>
      <x:c r="R1157" s="13" t="str"/>
      <x:c r="S1157" s="13" t="str"/>
      <x:c r="T1157" s="13" t="str"/>
    </x:row>
    <x:row r="1158">
      <x:c r="A1158" s="13" t="str">
        <x:v>Vitor Roque</x:v>
      </x:c>
      <x:c r="B1158" s="13" t="n">
        <x:v>2030</x:v>
      </x:c>
      <x:c r="C1158" s="13" t="str">
        <x:v>T1</x:v>
      </x:c>
      <x:c r="D1158" s="24" t="n">
        <x:v>47573</x:v>
      </x:c>
      <x:c r="E1158" s="13" t="str">
        <x:v>Centroavante</x:v>
      </x:c>
      <x:c r="F1158" s="13" t="str">
        <x:v>SE Palmeiras</x:v>
      </x:c>
      <x:c r="G1158" s="16"/>
      <x:c r="H1158" s="16"/>
      <x:c r="I1158" s="16"/>
      <x:c r="J1158" s="16"/>
      <x:c r="K1158" s="16" t="str">
        <x:f>IF(COUNT(G1158,I1158)=0,"",AVERAGE(G1158,I1158))</x:f>
      </x:c>
      <x:c r="L1158" s="16" t="str">
        <x:f>IF(COUNT(H1158,J1158)=0,"",AVERAGE(H1158,J1158))</x:f>
      </x:c>
      <x:c r="M1158" s="16" t="str">
        <x:f>IF(OR(K1158="",L1158=""),"",L1158-K1158)</x:f>
      </x:c>
      <x:c r="N1158" s="16" t="str">
        <x:f>IF(AND(A1158=A1157,ISNUMBER(K1158),ISNUMBER(K1157)),K1158-K1157,"")</x:f>
      </x:c>
      <x:c r="O1158" s="13" t="str">
        <x:v>Sem informação</x:v>
      </x:c>
      <x:c r="P1158" s="26"/>
      <x:c r="Q1158" s="13" t="str"/>
      <x:c r="R1158" s="13" t="str"/>
      <x:c r="S1158" s="13" t="str"/>
      <x:c r="T1158" s="13" t="str"/>
    </x:row>
    <x:row r="1159">
      <x:c r="A1159" s="13" t="str">
        <x:v>Vitor Roque</x:v>
      </x:c>
      <x:c r="B1159" s="13" t="n">
        <x:v>2030</x:v>
      </x:c>
      <x:c r="C1159" s="13" t="str">
        <x:v>T2</x:v>
      </x:c>
      <x:c r="D1159" s="24" t="n">
        <x:v>47664</x:v>
      </x:c>
      <x:c r="E1159" s="13" t="str">
        <x:v>Centroavante</x:v>
      </x:c>
      <x:c r="F1159" s="13" t="str">
        <x:v>SE Palmeiras</x:v>
      </x:c>
      <x:c r="G1159" s="16"/>
      <x:c r="H1159" s="16"/>
      <x:c r="I1159" s="16"/>
      <x:c r="J1159" s="16"/>
      <x:c r="K1159" s="16" t="str">
        <x:f>IF(COUNT(G1159,I1159)=0,"",AVERAGE(G1159,I1159))</x:f>
      </x:c>
      <x:c r="L1159" s="16" t="str">
        <x:f>IF(COUNT(H1159,J1159)=0,"",AVERAGE(H1159,J1159))</x:f>
      </x:c>
      <x:c r="M1159" s="16" t="str">
        <x:f>IF(OR(K1159="",L1159=""),"",L1159-K1159)</x:f>
      </x:c>
      <x:c r="N1159" s="16" t="str">
        <x:f>IF(AND(A1159=A1158,ISNUMBER(K1159),ISNUMBER(K1158)),K1159-K1158,"")</x:f>
      </x:c>
      <x:c r="O1159" s="13" t="str">
        <x:v>Sem informação</x:v>
      </x:c>
      <x:c r="P1159" s="26"/>
      <x:c r="Q1159" s="13" t="str"/>
      <x:c r="R1159" s="13" t="str"/>
      <x:c r="S1159" s="13" t="str"/>
      <x:c r="T1159" s="13" t="str"/>
    </x:row>
    <x:row r="1160">
      <x:c r="A1160" s="13" t="str">
        <x:v>Vitor Roque</x:v>
      </x:c>
      <x:c r="B1160" s="13" t="n">
        <x:v>2030</x:v>
      </x:c>
      <x:c r="C1160" s="13" t="str">
        <x:v>T3</x:v>
      </x:c>
      <x:c r="D1160" s="24" t="n">
        <x:v>47756</x:v>
      </x:c>
      <x:c r="E1160" s="13" t="str">
        <x:v>Centroavante</x:v>
      </x:c>
      <x:c r="F1160" s="13" t="str">
        <x:v>SE Palmeiras</x:v>
      </x:c>
      <x:c r="G1160" s="16"/>
      <x:c r="H1160" s="16"/>
      <x:c r="I1160" s="16"/>
      <x:c r="J1160" s="16"/>
      <x:c r="K1160" s="16" t="str">
        <x:f>IF(COUNT(G1160,I1160)=0,"",AVERAGE(G1160,I1160))</x:f>
      </x:c>
      <x:c r="L1160" s="16" t="str">
        <x:f>IF(COUNT(H1160,J1160)=0,"",AVERAGE(H1160,J1160))</x:f>
      </x:c>
      <x:c r="M1160" s="16" t="str">
        <x:f>IF(OR(K1160="",L1160=""),"",L1160-K1160)</x:f>
      </x:c>
      <x:c r="N1160" s="16" t="str">
        <x:f>IF(AND(A1160=A1159,ISNUMBER(K1160),ISNUMBER(K1159)),K1160-K1159,"")</x:f>
      </x:c>
      <x:c r="O1160" s="13" t="str">
        <x:v>Sem informação</x:v>
      </x:c>
      <x:c r="P1160" s="26"/>
      <x:c r="Q1160" s="13" t="str"/>
      <x:c r="R1160" s="13" t="str"/>
      <x:c r="S1160" s="13" t="str"/>
      <x:c r="T1160" s="13" t="str"/>
    </x:row>
    <x:row r="1161">
      <x:c r="A1161" s="13" t="str">
        <x:v>Vitor Roque</x:v>
      </x:c>
      <x:c r="B1161" s="13" t="n">
        <x:v>2030</x:v>
      </x:c>
      <x:c r="C1161" s="13" t="str">
        <x:v>T4</x:v>
      </x:c>
      <x:c r="D1161" s="24" t="n">
        <x:v>47848</x:v>
      </x:c>
      <x:c r="E1161" s="13" t="str">
        <x:v>Centroavante</x:v>
      </x:c>
      <x:c r="F1161" s="13" t="str">
        <x:v>SE Palmeiras</x:v>
      </x:c>
      <x:c r="G1161" s="16"/>
      <x:c r="H1161" s="16"/>
      <x:c r="I1161" s="16"/>
      <x:c r="J1161" s="16"/>
      <x:c r="K1161" s="16" t="str">
        <x:f>IF(COUNT(G1161,I1161)=0,"",AVERAGE(G1161,I1161))</x:f>
      </x:c>
      <x:c r="L1161" s="16" t="str">
        <x:f>IF(COUNT(H1161,J1161)=0,"",AVERAGE(H1161,J1161))</x:f>
      </x:c>
      <x:c r="M1161" s="16" t="str">
        <x:f>IF(OR(K1161="",L1161=""),"",L1161-K1161)</x:f>
      </x:c>
      <x:c r="N1161" s="16" t="str">
        <x:f>IF(AND(A1161=A1160,ISNUMBER(K1161),ISNUMBER(K1160)),K1161-K1160,"")</x:f>
      </x:c>
      <x:c r="O1161" s="13" t="str">
        <x:v>Sem informação</x:v>
      </x:c>
      <x:c r="P1161" s="26"/>
      <x:c r="Q1161" s="13" t="str"/>
      <x:c r="R1161" s="13" t="str"/>
      <x:c r="S1161" s="13" t="str"/>
      <x:c r="T1161" s="13" t="str"/>
    </x:row>
    <x:row r="1162">
      <x:c r="A1162" s="13" t="str">
        <x:v>William Gomes</x:v>
      </x:c>
      <x:c r="B1162" s="13" t="n">
        <x:v>2026</x:v>
      </x:c>
      <x:c r="C1162" s="13" t="str">
        <x:v>T1</x:v>
      </x:c>
      <x:c r="D1162" s="24" t="n">
        <x:v>46112</x:v>
      </x:c>
      <x:c r="E1162" s="13" t="str">
        <x:v>Ponta-direita</x:v>
      </x:c>
      <x:c r="F1162" s="13" t="str">
        <x:v>FC Porto</x:v>
      </x:c>
      <x:c r="G1162" s="16"/>
      <x:c r="H1162" s="16"/>
      <x:c r="I1162" s="16"/>
      <x:c r="J1162" s="16"/>
      <x:c r="K1162" s="16" t="str">
        <x:f>IF(COUNT(G1162,I1162)=0,"",AVERAGE(G1162,I1162))</x:f>
      </x:c>
      <x:c r="L1162" s="16" t="str">
        <x:f>IF(COUNT(H1162,J1162)=0,"",AVERAGE(H1162,J1162))</x:f>
      </x:c>
      <x:c r="M1162" s="16" t="str">
        <x:f>IF(OR(K1162="",L1162=""),"",L1162-K1162)</x:f>
      </x:c>
      <x:c r="N1162" s="16" t="str">
        <x:f>""</x:f>
      </x:c>
      <x:c r="O1162" s="13" t="str">
        <x:v>Sem informação</x:v>
      </x:c>
      <x:c r="P1162" s="26"/>
      <x:c r="Q1162" s="13" t="str"/>
      <x:c r="R1162" s="13" t="str"/>
      <x:c r="S1162" s="13" t="str"/>
      <x:c r="T1162" s="13" t="str"/>
    </x:row>
    <x:row r="1163">
      <x:c r="A1163" s="13" t="str">
        <x:v>William Gomes</x:v>
      </x:c>
      <x:c r="B1163" s="13" t="n">
        <x:v>2026</x:v>
      </x:c>
      <x:c r="C1163" s="13" t="str">
        <x:v>T2</x:v>
      </x:c>
      <x:c r="D1163" s="24" t="n">
        <x:v>46203</x:v>
      </x:c>
      <x:c r="E1163" s="13" t="str">
        <x:v>Ponta-direita</x:v>
      </x:c>
      <x:c r="F1163" s="13" t="str">
        <x:v>FC Porto</x:v>
      </x:c>
      <x:c r="G1163" s="16"/>
      <x:c r="H1163" s="16"/>
      <x:c r="I1163" s="16"/>
      <x:c r="J1163" s="16"/>
      <x:c r="K1163" s="16" t="str">
        <x:f>IF(COUNT(G1163,I1163)=0,"",AVERAGE(G1163,I1163))</x:f>
      </x:c>
      <x:c r="L1163" s="16" t="str">
        <x:f>IF(COUNT(H1163,J1163)=0,"",AVERAGE(H1163,J1163))</x:f>
      </x:c>
      <x:c r="M1163" s="16" t="str">
        <x:f>IF(OR(K1163="",L1163=""),"",L1163-K1163)</x:f>
      </x:c>
      <x:c r="N1163" s="16" t="str">
        <x:f>IF(AND(A1163=A1162,ISNUMBER(K1163),ISNUMBER(K1162)),K1163-K1162,"")</x:f>
      </x:c>
      <x:c r="O1163" s="13" t="str">
        <x:v>Sem informação</x:v>
      </x:c>
      <x:c r="P1163" s="26"/>
      <x:c r="Q1163" s="13" t="str"/>
      <x:c r="R1163" s="13" t="str"/>
      <x:c r="S1163" s="13" t="str"/>
      <x:c r="T1163" s="13" t="str"/>
    </x:row>
    <x:row r="1164">
      <x:c r="A1164" s="13" t="str">
        <x:v>William Gomes</x:v>
      </x:c>
      <x:c r="B1164" s="13" t="n">
        <x:v>2026</x:v>
      </x:c>
      <x:c r="C1164" s="13" t="str">
        <x:v>T3</x:v>
      </x:c>
      <x:c r="D1164" s="24" t="n">
        <x:v>46295</x:v>
      </x:c>
      <x:c r="E1164" s="13" t="str">
        <x:v>Ponta-direita</x:v>
      </x:c>
      <x:c r="F1164" s="13" t="str">
        <x:v>FC Porto</x:v>
      </x:c>
      <x:c r="G1164" s="16"/>
      <x:c r="H1164" s="16"/>
      <x:c r="I1164" s="16"/>
      <x:c r="J1164" s="16"/>
      <x:c r="K1164" s="16" t="str">
        <x:f>IF(COUNT(G1164,I1164)=0,"",AVERAGE(G1164,I1164))</x:f>
      </x:c>
      <x:c r="L1164" s="16" t="str">
        <x:f>IF(COUNT(H1164,J1164)=0,"",AVERAGE(H1164,J1164))</x:f>
      </x:c>
      <x:c r="M1164" s="16" t="str">
        <x:f>IF(OR(K1164="",L1164=""),"",L1164-K1164)</x:f>
      </x:c>
      <x:c r="N1164" s="16" t="str">
        <x:f>IF(AND(A1164=A1163,ISNUMBER(K1164),ISNUMBER(K1163)),K1164-K1163,"")</x:f>
      </x:c>
      <x:c r="O1164" s="13" t="str">
        <x:v>Sem informação</x:v>
      </x:c>
      <x:c r="P1164" s="26"/>
      <x:c r="Q1164" s="13" t="str"/>
      <x:c r="R1164" s="13" t="str"/>
      <x:c r="S1164" s="13" t="str"/>
      <x:c r="T1164" s="13" t="str"/>
    </x:row>
    <x:row r="1165">
      <x:c r="A1165" s="13" t="str">
        <x:v>William Gomes</x:v>
      </x:c>
      <x:c r="B1165" s="13" t="n">
        <x:v>2026</x:v>
      </x:c>
      <x:c r="C1165" s="13" t="str">
        <x:v>T4</x:v>
      </x:c>
      <x:c r="D1165" s="24" t="n">
        <x:v>46387</x:v>
      </x:c>
      <x:c r="E1165" s="13" t="str">
        <x:v>Ponta-direita</x:v>
      </x:c>
      <x:c r="F1165" s="13" t="str">
        <x:v>FC Porto</x:v>
      </x:c>
      <x:c r="G1165" s="16"/>
      <x:c r="H1165" s="16"/>
      <x:c r="I1165" s="16"/>
      <x:c r="J1165" s="16"/>
      <x:c r="K1165" s="16" t="str">
        <x:f>IF(COUNT(G1165,I1165)=0,"",AVERAGE(G1165,I1165))</x:f>
      </x:c>
      <x:c r="L1165" s="16" t="str">
        <x:f>IF(COUNT(H1165,J1165)=0,"",AVERAGE(H1165,J1165))</x:f>
      </x:c>
      <x:c r="M1165" s="16" t="str">
        <x:f>IF(OR(K1165="",L1165=""),"",L1165-K1165)</x:f>
      </x:c>
      <x:c r="N1165" s="16" t="str">
        <x:f>IF(AND(A1165=A1164,ISNUMBER(K1165),ISNUMBER(K1164)),K1165-K1164,"")</x:f>
      </x:c>
      <x:c r="O1165" s="13" t="str">
        <x:v>Sem informação</x:v>
      </x:c>
      <x:c r="P1165" s="26"/>
      <x:c r="Q1165" s="13" t="str"/>
      <x:c r="R1165" s="13" t="str"/>
      <x:c r="S1165" s="13" t="str"/>
      <x:c r="T1165" s="13" t="str"/>
    </x:row>
    <x:row r="1166">
      <x:c r="A1166" s="13" t="str">
        <x:v>William Gomes</x:v>
      </x:c>
      <x:c r="B1166" s="13" t="n">
        <x:v>2027</x:v>
      </x:c>
      <x:c r="C1166" s="13" t="str">
        <x:v>T1</x:v>
      </x:c>
      <x:c r="D1166" s="24" t="n">
        <x:v>46477</x:v>
      </x:c>
      <x:c r="E1166" s="13" t="str">
        <x:v>Ponta-direita</x:v>
      </x:c>
      <x:c r="F1166" s="13" t="str">
        <x:v>FC Porto</x:v>
      </x:c>
      <x:c r="G1166" s="16"/>
      <x:c r="H1166" s="16"/>
      <x:c r="I1166" s="16"/>
      <x:c r="J1166" s="16"/>
      <x:c r="K1166" s="16" t="str">
        <x:f>IF(COUNT(G1166,I1166)=0,"",AVERAGE(G1166,I1166))</x:f>
      </x:c>
      <x:c r="L1166" s="16" t="str">
        <x:f>IF(COUNT(H1166,J1166)=0,"",AVERAGE(H1166,J1166))</x:f>
      </x:c>
      <x:c r="M1166" s="16" t="str">
        <x:f>IF(OR(K1166="",L1166=""),"",L1166-K1166)</x:f>
      </x:c>
      <x:c r="N1166" s="16" t="str">
        <x:f>IF(AND(A1166=A1165,ISNUMBER(K1166),ISNUMBER(K1165)),K1166-K1165,"")</x:f>
      </x:c>
      <x:c r="O1166" s="13" t="str">
        <x:v>Sem informação</x:v>
      </x:c>
      <x:c r="P1166" s="26"/>
      <x:c r="Q1166" s="13" t="str"/>
      <x:c r="R1166" s="13" t="str"/>
      <x:c r="S1166" s="13" t="str"/>
      <x:c r="T1166" s="13" t="str"/>
    </x:row>
    <x:row r="1167">
      <x:c r="A1167" s="13" t="str">
        <x:v>William Gomes</x:v>
      </x:c>
      <x:c r="B1167" s="13" t="n">
        <x:v>2027</x:v>
      </x:c>
      <x:c r="C1167" s="13" t="str">
        <x:v>T2</x:v>
      </x:c>
      <x:c r="D1167" s="24" t="n">
        <x:v>46568</x:v>
      </x:c>
      <x:c r="E1167" s="13" t="str">
        <x:v>Ponta-direita</x:v>
      </x:c>
      <x:c r="F1167" s="13" t="str">
        <x:v>FC Porto</x:v>
      </x:c>
      <x:c r="G1167" s="16"/>
      <x:c r="H1167" s="16"/>
      <x:c r="I1167" s="16"/>
      <x:c r="J1167" s="16"/>
      <x:c r="K1167" s="16" t="str">
        <x:f>IF(COUNT(G1167,I1167)=0,"",AVERAGE(G1167,I1167))</x:f>
      </x:c>
      <x:c r="L1167" s="16" t="str">
        <x:f>IF(COUNT(H1167,J1167)=0,"",AVERAGE(H1167,J1167))</x:f>
      </x:c>
      <x:c r="M1167" s="16" t="str">
        <x:f>IF(OR(K1167="",L1167=""),"",L1167-K1167)</x:f>
      </x:c>
      <x:c r="N1167" s="16" t="str">
        <x:f>IF(AND(A1167=A1166,ISNUMBER(K1167),ISNUMBER(K1166)),K1167-K1166,"")</x:f>
      </x:c>
      <x:c r="O1167" s="13" t="str">
        <x:v>Sem informação</x:v>
      </x:c>
      <x:c r="P1167" s="26"/>
      <x:c r="Q1167" s="13" t="str"/>
      <x:c r="R1167" s="13" t="str"/>
      <x:c r="S1167" s="13" t="str"/>
      <x:c r="T1167" s="13" t="str"/>
    </x:row>
    <x:row r="1168">
      <x:c r="A1168" s="13" t="str">
        <x:v>William Gomes</x:v>
      </x:c>
      <x:c r="B1168" s="13" t="n">
        <x:v>2027</x:v>
      </x:c>
      <x:c r="C1168" s="13" t="str">
        <x:v>T3</x:v>
      </x:c>
      <x:c r="D1168" s="24" t="n">
        <x:v>46660</x:v>
      </x:c>
      <x:c r="E1168" s="13" t="str">
        <x:v>Ponta-direita</x:v>
      </x:c>
      <x:c r="F1168" s="13" t="str">
        <x:v>FC Porto</x:v>
      </x:c>
      <x:c r="G1168" s="16"/>
      <x:c r="H1168" s="16"/>
      <x:c r="I1168" s="16"/>
      <x:c r="J1168" s="16"/>
      <x:c r="K1168" s="16" t="str">
        <x:f>IF(COUNT(G1168,I1168)=0,"",AVERAGE(G1168,I1168))</x:f>
      </x:c>
      <x:c r="L1168" s="16" t="str">
        <x:f>IF(COUNT(H1168,J1168)=0,"",AVERAGE(H1168,J1168))</x:f>
      </x:c>
      <x:c r="M1168" s="16" t="str">
        <x:f>IF(OR(K1168="",L1168=""),"",L1168-K1168)</x:f>
      </x:c>
      <x:c r="N1168" s="16" t="str">
        <x:f>IF(AND(A1168=A1167,ISNUMBER(K1168),ISNUMBER(K1167)),K1168-K1167,"")</x:f>
      </x:c>
      <x:c r="O1168" s="13" t="str">
        <x:v>Sem informação</x:v>
      </x:c>
      <x:c r="P1168" s="26"/>
      <x:c r="Q1168" s="13" t="str"/>
      <x:c r="R1168" s="13" t="str"/>
      <x:c r="S1168" s="13" t="str"/>
      <x:c r="T1168" s="13" t="str"/>
    </x:row>
    <x:row r="1169">
      <x:c r="A1169" s="13" t="str">
        <x:v>William Gomes</x:v>
      </x:c>
      <x:c r="B1169" s="13" t="n">
        <x:v>2027</x:v>
      </x:c>
      <x:c r="C1169" s="13" t="str">
        <x:v>T4</x:v>
      </x:c>
      <x:c r="D1169" s="24" t="n">
        <x:v>46752</x:v>
      </x:c>
      <x:c r="E1169" s="13" t="str">
        <x:v>Ponta-direita</x:v>
      </x:c>
      <x:c r="F1169" s="13" t="str">
        <x:v>FC Porto</x:v>
      </x:c>
      <x:c r="G1169" s="16"/>
      <x:c r="H1169" s="16"/>
      <x:c r="I1169" s="16"/>
      <x:c r="J1169" s="16"/>
      <x:c r="K1169" s="16" t="str">
        <x:f>IF(COUNT(G1169,I1169)=0,"",AVERAGE(G1169,I1169))</x:f>
      </x:c>
      <x:c r="L1169" s="16" t="str">
        <x:f>IF(COUNT(H1169,J1169)=0,"",AVERAGE(H1169,J1169))</x:f>
      </x:c>
      <x:c r="M1169" s="16" t="str">
        <x:f>IF(OR(K1169="",L1169=""),"",L1169-K1169)</x:f>
      </x:c>
      <x:c r="N1169" s="16" t="str">
        <x:f>IF(AND(A1169=A1168,ISNUMBER(K1169),ISNUMBER(K1168)),K1169-K1168,"")</x:f>
      </x:c>
      <x:c r="O1169" s="13" t="str">
        <x:v>Sem informação</x:v>
      </x:c>
      <x:c r="P1169" s="26"/>
      <x:c r="Q1169" s="13" t="str"/>
      <x:c r="R1169" s="13" t="str"/>
      <x:c r="S1169" s="13" t="str"/>
      <x:c r="T1169" s="13" t="str"/>
    </x:row>
    <x:row r="1170">
      <x:c r="A1170" s="13" t="str">
        <x:v>William Gomes</x:v>
      </x:c>
      <x:c r="B1170" s="13" t="n">
        <x:v>2028</x:v>
      </x:c>
      <x:c r="C1170" s="13" t="str">
        <x:v>T1</x:v>
      </x:c>
      <x:c r="D1170" s="24" t="n">
        <x:v>46843</x:v>
      </x:c>
      <x:c r="E1170" s="13" t="str">
        <x:v>Ponta-direita</x:v>
      </x:c>
      <x:c r="F1170" s="13" t="str">
        <x:v>FC Porto</x:v>
      </x:c>
      <x:c r="G1170" s="16"/>
      <x:c r="H1170" s="16"/>
      <x:c r="I1170" s="16"/>
      <x:c r="J1170" s="16"/>
      <x:c r="K1170" s="16" t="str">
        <x:f>IF(COUNT(G1170,I1170)=0,"",AVERAGE(G1170,I1170))</x:f>
      </x:c>
      <x:c r="L1170" s="16" t="str">
        <x:f>IF(COUNT(H1170,J1170)=0,"",AVERAGE(H1170,J1170))</x:f>
      </x:c>
      <x:c r="M1170" s="16" t="str">
        <x:f>IF(OR(K1170="",L1170=""),"",L1170-K1170)</x:f>
      </x:c>
      <x:c r="N1170" s="16" t="str">
        <x:f>IF(AND(A1170=A1169,ISNUMBER(K1170),ISNUMBER(K1169)),K1170-K1169,"")</x:f>
      </x:c>
      <x:c r="O1170" s="13" t="str">
        <x:v>Sem informação</x:v>
      </x:c>
      <x:c r="P1170" s="26"/>
      <x:c r="Q1170" s="13" t="str"/>
      <x:c r="R1170" s="13" t="str"/>
      <x:c r="S1170" s="13" t="str"/>
      <x:c r="T1170" s="13" t="str"/>
    </x:row>
    <x:row r="1171">
      <x:c r="A1171" s="13" t="str">
        <x:v>William Gomes</x:v>
      </x:c>
      <x:c r="B1171" s="13" t="n">
        <x:v>2028</x:v>
      </x:c>
      <x:c r="C1171" s="13" t="str">
        <x:v>T2</x:v>
      </x:c>
      <x:c r="D1171" s="24" t="n">
        <x:v>46934</x:v>
      </x:c>
      <x:c r="E1171" s="13" t="str">
        <x:v>Ponta-direita</x:v>
      </x:c>
      <x:c r="F1171" s="13" t="str">
        <x:v>FC Porto</x:v>
      </x:c>
      <x:c r="G1171" s="16"/>
      <x:c r="H1171" s="16"/>
      <x:c r="I1171" s="16"/>
      <x:c r="J1171" s="16"/>
      <x:c r="K1171" s="16" t="str">
        <x:f>IF(COUNT(G1171,I1171)=0,"",AVERAGE(G1171,I1171))</x:f>
      </x:c>
      <x:c r="L1171" s="16" t="str">
        <x:f>IF(COUNT(H1171,J1171)=0,"",AVERAGE(H1171,J1171))</x:f>
      </x:c>
      <x:c r="M1171" s="16" t="str">
        <x:f>IF(OR(K1171="",L1171=""),"",L1171-K1171)</x:f>
      </x:c>
      <x:c r="N1171" s="16" t="str">
        <x:f>IF(AND(A1171=A1170,ISNUMBER(K1171),ISNUMBER(K1170)),K1171-K1170,"")</x:f>
      </x:c>
      <x:c r="O1171" s="13" t="str">
        <x:v>Sem informação</x:v>
      </x:c>
      <x:c r="P1171" s="26"/>
      <x:c r="Q1171" s="13" t="str"/>
      <x:c r="R1171" s="13" t="str"/>
      <x:c r="S1171" s="13" t="str"/>
      <x:c r="T1171" s="13" t="str"/>
    </x:row>
    <x:row r="1172">
      <x:c r="A1172" s="13" t="str">
        <x:v>William Gomes</x:v>
      </x:c>
      <x:c r="B1172" s="13" t="n">
        <x:v>2028</x:v>
      </x:c>
      <x:c r="C1172" s="13" t="str">
        <x:v>T3</x:v>
      </x:c>
      <x:c r="D1172" s="24" t="n">
        <x:v>47026</x:v>
      </x:c>
      <x:c r="E1172" s="13" t="str">
        <x:v>Ponta-direita</x:v>
      </x:c>
      <x:c r="F1172" s="13" t="str">
        <x:v>FC Porto</x:v>
      </x:c>
      <x:c r="G1172" s="16"/>
      <x:c r="H1172" s="16"/>
      <x:c r="I1172" s="16"/>
      <x:c r="J1172" s="16"/>
      <x:c r="K1172" s="16" t="str">
        <x:f>IF(COUNT(G1172,I1172)=0,"",AVERAGE(G1172,I1172))</x:f>
      </x:c>
      <x:c r="L1172" s="16" t="str">
        <x:f>IF(COUNT(H1172,J1172)=0,"",AVERAGE(H1172,J1172))</x:f>
      </x:c>
      <x:c r="M1172" s="16" t="str">
        <x:f>IF(OR(K1172="",L1172=""),"",L1172-K1172)</x:f>
      </x:c>
      <x:c r="N1172" s="16" t="str">
        <x:f>IF(AND(A1172=A1171,ISNUMBER(K1172),ISNUMBER(K1171)),K1172-K1171,"")</x:f>
      </x:c>
      <x:c r="O1172" s="13" t="str">
        <x:v>Sem informação</x:v>
      </x:c>
      <x:c r="P1172" s="26"/>
      <x:c r="Q1172" s="13" t="str"/>
      <x:c r="R1172" s="13" t="str"/>
      <x:c r="S1172" s="13" t="str"/>
      <x:c r="T1172" s="13" t="str"/>
    </x:row>
    <x:row r="1173">
      <x:c r="A1173" s="13" t="str">
        <x:v>William Gomes</x:v>
      </x:c>
      <x:c r="B1173" s="13" t="n">
        <x:v>2028</x:v>
      </x:c>
      <x:c r="C1173" s="13" t="str">
        <x:v>T4</x:v>
      </x:c>
      <x:c r="D1173" s="24" t="n">
        <x:v>47118</x:v>
      </x:c>
      <x:c r="E1173" s="13" t="str">
        <x:v>Ponta-direita</x:v>
      </x:c>
      <x:c r="F1173" s="13" t="str">
        <x:v>FC Porto</x:v>
      </x:c>
      <x:c r="G1173" s="16"/>
      <x:c r="H1173" s="16"/>
      <x:c r="I1173" s="16"/>
      <x:c r="J1173" s="16"/>
      <x:c r="K1173" s="16" t="str">
        <x:f>IF(COUNT(G1173,I1173)=0,"",AVERAGE(G1173,I1173))</x:f>
      </x:c>
      <x:c r="L1173" s="16" t="str">
        <x:f>IF(COUNT(H1173,J1173)=0,"",AVERAGE(H1173,J1173))</x:f>
      </x:c>
      <x:c r="M1173" s="16" t="str">
        <x:f>IF(OR(K1173="",L1173=""),"",L1173-K1173)</x:f>
      </x:c>
      <x:c r="N1173" s="16" t="str">
        <x:f>IF(AND(A1173=A1172,ISNUMBER(K1173),ISNUMBER(K1172)),K1173-K1172,"")</x:f>
      </x:c>
      <x:c r="O1173" s="13" t="str">
        <x:v>Sem informação</x:v>
      </x:c>
      <x:c r="P1173" s="26"/>
      <x:c r="Q1173" s="13" t="str"/>
      <x:c r="R1173" s="13" t="str"/>
      <x:c r="S1173" s="13" t="str"/>
      <x:c r="T1173" s="13" t="str"/>
    </x:row>
    <x:row r="1174">
      <x:c r="A1174" s="13" t="str">
        <x:v>William Gomes</x:v>
      </x:c>
      <x:c r="B1174" s="13" t="n">
        <x:v>2029</x:v>
      </x:c>
      <x:c r="C1174" s="13" t="str">
        <x:v>T1</x:v>
      </x:c>
      <x:c r="D1174" s="24" t="n">
        <x:v>47208</x:v>
      </x:c>
      <x:c r="E1174" s="13" t="str">
        <x:v>Ponta-direita</x:v>
      </x:c>
      <x:c r="F1174" s="13" t="str">
        <x:v>FC Porto</x:v>
      </x:c>
      <x:c r="G1174" s="16"/>
      <x:c r="H1174" s="16"/>
      <x:c r="I1174" s="16"/>
      <x:c r="J1174" s="16"/>
      <x:c r="K1174" s="16" t="str">
        <x:f>IF(COUNT(G1174,I1174)=0,"",AVERAGE(G1174,I1174))</x:f>
      </x:c>
      <x:c r="L1174" s="16" t="str">
        <x:f>IF(COUNT(H1174,J1174)=0,"",AVERAGE(H1174,J1174))</x:f>
      </x:c>
      <x:c r="M1174" s="16" t="str">
        <x:f>IF(OR(K1174="",L1174=""),"",L1174-K1174)</x:f>
      </x:c>
      <x:c r="N1174" s="16" t="str">
        <x:f>IF(AND(A1174=A1173,ISNUMBER(K1174),ISNUMBER(K1173)),K1174-K1173,"")</x:f>
      </x:c>
      <x:c r="O1174" s="13" t="str">
        <x:v>Sem informação</x:v>
      </x:c>
      <x:c r="P1174" s="26"/>
      <x:c r="Q1174" s="13" t="str"/>
      <x:c r="R1174" s="13" t="str"/>
      <x:c r="S1174" s="13" t="str"/>
      <x:c r="T1174" s="13" t="str"/>
    </x:row>
    <x:row r="1175">
      <x:c r="A1175" s="13" t="str">
        <x:v>William Gomes</x:v>
      </x:c>
      <x:c r="B1175" s="13" t="n">
        <x:v>2029</x:v>
      </x:c>
      <x:c r="C1175" s="13" t="str">
        <x:v>T2</x:v>
      </x:c>
      <x:c r="D1175" s="24" t="n">
        <x:v>47299</x:v>
      </x:c>
      <x:c r="E1175" s="13" t="str">
        <x:v>Ponta-direita</x:v>
      </x:c>
      <x:c r="F1175" s="13" t="str">
        <x:v>FC Porto</x:v>
      </x:c>
      <x:c r="G1175" s="16"/>
      <x:c r="H1175" s="16"/>
      <x:c r="I1175" s="16"/>
      <x:c r="J1175" s="16"/>
      <x:c r="K1175" s="16" t="str">
        <x:f>IF(COUNT(G1175,I1175)=0,"",AVERAGE(G1175,I1175))</x:f>
      </x:c>
      <x:c r="L1175" s="16" t="str">
        <x:f>IF(COUNT(H1175,J1175)=0,"",AVERAGE(H1175,J1175))</x:f>
      </x:c>
      <x:c r="M1175" s="16" t="str">
        <x:f>IF(OR(K1175="",L1175=""),"",L1175-K1175)</x:f>
      </x:c>
      <x:c r="N1175" s="16" t="str">
        <x:f>IF(AND(A1175=A1174,ISNUMBER(K1175),ISNUMBER(K1174)),K1175-K1174,"")</x:f>
      </x:c>
      <x:c r="O1175" s="13" t="str">
        <x:v>Sem informação</x:v>
      </x:c>
      <x:c r="P1175" s="26"/>
      <x:c r="Q1175" s="13" t="str"/>
      <x:c r="R1175" s="13" t="str"/>
      <x:c r="S1175" s="13" t="str"/>
      <x:c r="T1175" s="13" t="str"/>
    </x:row>
    <x:row r="1176">
      <x:c r="A1176" s="13" t="str">
        <x:v>William Gomes</x:v>
      </x:c>
      <x:c r="B1176" s="13" t="n">
        <x:v>2029</x:v>
      </x:c>
      <x:c r="C1176" s="13" t="str">
        <x:v>T3</x:v>
      </x:c>
      <x:c r="D1176" s="24" t="n">
        <x:v>47391</x:v>
      </x:c>
      <x:c r="E1176" s="13" t="str">
        <x:v>Ponta-direita</x:v>
      </x:c>
      <x:c r="F1176" s="13" t="str">
        <x:v>FC Porto</x:v>
      </x:c>
      <x:c r="G1176" s="16"/>
      <x:c r="H1176" s="16"/>
      <x:c r="I1176" s="16"/>
      <x:c r="J1176" s="16"/>
      <x:c r="K1176" s="16" t="str">
        <x:f>IF(COUNT(G1176,I1176)=0,"",AVERAGE(G1176,I1176))</x:f>
      </x:c>
      <x:c r="L1176" s="16" t="str">
        <x:f>IF(COUNT(H1176,J1176)=0,"",AVERAGE(H1176,J1176))</x:f>
      </x:c>
      <x:c r="M1176" s="16" t="str">
        <x:f>IF(OR(K1176="",L1176=""),"",L1176-K1176)</x:f>
      </x:c>
      <x:c r="N1176" s="16" t="str">
        <x:f>IF(AND(A1176=A1175,ISNUMBER(K1176),ISNUMBER(K1175)),K1176-K1175,"")</x:f>
      </x:c>
      <x:c r="O1176" s="13" t="str">
        <x:v>Sem informação</x:v>
      </x:c>
      <x:c r="P1176" s="26"/>
      <x:c r="Q1176" s="13" t="str"/>
      <x:c r="R1176" s="13" t="str"/>
      <x:c r="S1176" s="13" t="str"/>
      <x:c r="T1176" s="13" t="str"/>
    </x:row>
    <x:row r="1177">
      <x:c r="A1177" s="13" t="str">
        <x:v>William Gomes</x:v>
      </x:c>
      <x:c r="B1177" s="13" t="n">
        <x:v>2029</x:v>
      </x:c>
      <x:c r="C1177" s="13" t="str">
        <x:v>T4</x:v>
      </x:c>
      <x:c r="D1177" s="24" t="n">
        <x:v>47483</x:v>
      </x:c>
      <x:c r="E1177" s="13" t="str">
        <x:v>Ponta-direita</x:v>
      </x:c>
      <x:c r="F1177" s="13" t="str">
        <x:v>FC Porto</x:v>
      </x:c>
      <x:c r="G1177" s="16"/>
      <x:c r="H1177" s="16"/>
      <x:c r="I1177" s="16"/>
      <x:c r="J1177" s="16"/>
      <x:c r="K1177" s="16" t="str">
        <x:f>IF(COUNT(G1177,I1177)=0,"",AVERAGE(G1177,I1177))</x:f>
      </x:c>
      <x:c r="L1177" s="16" t="str">
        <x:f>IF(COUNT(H1177,J1177)=0,"",AVERAGE(H1177,J1177))</x:f>
      </x:c>
      <x:c r="M1177" s="16" t="str">
        <x:f>IF(OR(K1177="",L1177=""),"",L1177-K1177)</x:f>
      </x:c>
      <x:c r="N1177" s="16" t="str">
        <x:f>IF(AND(A1177=A1176,ISNUMBER(K1177),ISNUMBER(K1176)),K1177-K1176,"")</x:f>
      </x:c>
      <x:c r="O1177" s="13" t="str">
        <x:v>Sem informação</x:v>
      </x:c>
      <x:c r="P1177" s="26"/>
      <x:c r="Q1177" s="13" t="str"/>
      <x:c r="R1177" s="13" t="str"/>
      <x:c r="S1177" s="13" t="str"/>
      <x:c r="T1177" s="13" t="str"/>
    </x:row>
    <x:row r="1178">
      <x:c r="A1178" s="13" t="str">
        <x:v>William Gomes</x:v>
      </x:c>
      <x:c r="B1178" s="13" t="n">
        <x:v>2030</x:v>
      </x:c>
      <x:c r="C1178" s="13" t="str">
        <x:v>T1</x:v>
      </x:c>
      <x:c r="D1178" s="24" t="n">
        <x:v>47573</x:v>
      </x:c>
      <x:c r="E1178" s="13" t="str">
        <x:v>Ponta-direita</x:v>
      </x:c>
      <x:c r="F1178" s="13" t="str">
        <x:v>FC Porto</x:v>
      </x:c>
      <x:c r="G1178" s="16"/>
      <x:c r="H1178" s="16"/>
      <x:c r="I1178" s="16"/>
      <x:c r="J1178" s="16"/>
      <x:c r="K1178" s="16" t="str">
        <x:f>IF(COUNT(G1178,I1178)=0,"",AVERAGE(G1178,I1178))</x:f>
      </x:c>
      <x:c r="L1178" s="16" t="str">
        <x:f>IF(COUNT(H1178,J1178)=0,"",AVERAGE(H1178,J1178))</x:f>
      </x:c>
      <x:c r="M1178" s="16" t="str">
        <x:f>IF(OR(K1178="",L1178=""),"",L1178-K1178)</x:f>
      </x:c>
      <x:c r="N1178" s="16" t="str">
        <x:f>IF(AND(A1178=A1177,ISNUMBER(K1178),ISNUMBER(K1177)),K1178-K1177,"")</x:f>
      </x:c>
      <x:c r="O1178" s="13" t="str">
        <x:v>Sem informação</x:v>
      </x:c>
      <x:c r="P1178" s="26"/>
      <x:c r="Q1178" s="13" t="str"/>
      <x:c r="R1178" s="13" t="str"/>
      <x:c r="S1178" s="13" t="str"/>
      <x:c r="T1178" s="13" t="str"/>
    </x:row>
    <x:row r="1179">
      <x:c r="A1179" s="13" t="str">
        <x:v>William Gomes</x:v>
      </x:c>
      <x:c r="B1179" s="13" t="n">
        <x:v>2030</x:v>
      </x:c>
      <x:c r="C1179" s="13" t="str">
        <x:v>T2</x:v>
      </x:c>
      <x:c r="D1179" s="24" t="n">
        <x:v>47664</x:v>
      </x:c>
      <x:c r="E1179" s="13" t="str">
        <x:v>Ponta-direita</x:v>
      </x:c>
      <x:c r="F1179" s="13" t="str">
        <x:v>FC Porto</x:v>
      </x:c>
      <x:c r="G1179" s="16"/>
      <x:c r="H1179" s="16"/>
      <x:c r="I1179" s="16"/>
      <x:c r="J1179" s="16"/>
      <x:c r="K1179" s="16" t="str">
        <x:f>IF(COUNT(G1179,I1179)=0,"",AVERAGE(G1179,I1179))</x:f>
      </x:c>
      <x:c r="L1179" s="16" t="str">
        <x:f>IF(COUNT(H1179,J1179)=0,"",AVERAGE(H1179,J1179))</x:f>
      </x:c>
      <x:c r="M1179" s="16" t="str">
        <x:f>IF(OR(K1179="",L1179=""),"",L1179-K1179)</x:f>
      </x:c>
      <x:c r="N1179" s="16" t="str">
        <x:f>IF(AND(A1179=A1178,ISNUMBER(K1179),ISNUMBER(K1178)),K1179-K1178,"")</x:f>
      </x:c>
      <x:c r="O1179" s="13" t="str">
        <x:v>Sem informação</x:v>
      </x:c>
      <x:c r="P1179" s="26"/>
      <x:c r="Q1179" s="13" t="str"/>
      <x:c r="R1179" s="13" t="str"/>
      <x:c r="S1179" s="13" t="str"/>
      <x:c r="T1179" s="13" t="str"/>
    </x:row>
    <x:row r="1180">
      <x:c r="A1180" s="13" t="str">
        <x:v>William Gomes</x:v>
      </x:c>
      <x:c r="B1180" s="13" t="n">
        <x:v>2030</x:v>
      </x:c>
      <x:c r="C1180" s="13" t="str">
        <x:v>T3</x:v>
      </x:c>
      <x:c r="D1180" s="24" t="n">
        <x:v>47756</x:v>
      </x:c>
      <x:c r="E1180" s="13" t="str">
        <x:v>Ponta-direita</x:v>
      </x:c>
      <x:c r="F1180" s="13" t="str">
        <x:v>FC Porto</x:v>
      </x:c>
      <x:c r="G1180" s="16"/>
      <x:c r="H1180" s="16"/>
      <x:c r="I1180" s="16"/>
      <x:c r="J1180" s="16"/>
      <x:c r="K1180" s="16" t="str">
        <x:f>IF(COUNT(G1180,I1180)=0,"",AVERAGE(G1180,I1180))</x:f>
      </x:c>
      <x:c r="L1180" s="16" t="str">
        <x:f>IF(COUNT(H1180,J1180)=0,"",AVERAGE(H1180,J1180))</x:f>
      </x:c>
      <x:c r="M1180" s="16" t="str">
        <x:f>IF(OR(K1180="",L1180=""),"",L1180-K1180)</x:f>
      </x:c>
      <x:c r="N1180" s="16" t="str">
        <x:f>IF(AND(A1180=A1179,ISNUMBER(K1180),ISNUMBER(K1179)),K1180-K1179,"")</x:f>
      </x:c>
      <x:c r="O1180" s="13" t="str">
        <x:v>Sem informação</x:v>
      </x:c>
      <x:c r="P1180" s="26"/>
      <x:c r="Q1180" s="13" t="str"/>
      <x:c r="R1180" s="13" t="str"/>
      <x:c r="S1180" s="13" t="str"/>
      <x:c r="T1180" s="13" t="str"/>
    </x:row>
    <x:row r="1181">
      <x:c r="A1181" s="13" t="str">
        <x:v>William Gomes</x:v>
      </x:c>
      <x:c r="B1181" s="13" t="n">
        <x:v>2030</x:v>
      </x:c>
      <x:c r="C1181" s="13" t="str">
        <x:v>T4</x:v>
      </x:c>
      <x:c r="D1181" s="24" t="n">
        <x:v>47848</x:v>
      </x:c>
      <x:c r="E1181" s="13" t="str">
        <x:v>Ponta-direita</x:v>
      </x:c>
      <x:c r="F1181" s="13" t="str">
        <x:v>FC Porto</x:v>
      </x:c>
      <x:c r="G1181" s="16"/>
      <x:c r="H1181" s="16"/>
      <x:c r="I1181" s="16"/>
      <x:c r="J1181" s="16"/>
      <x:c r="K1181" s="16" t="str">
        <x:f>IF(COUNT(G1181,I1181)=0,"",AVERAGE(G1181,I1181))</x:f>
      </x:c>
      <x:c r="L1181" s="16" t="str">
        <x:f>IF(COUNT(H1181,J1181)=0,"",AVERAGE(H1181,J1181))</x:f>
      </x:c>
      <x:c r="M1181" s="16" t="str">
        <x:f>IF(OR(K1181="",L1181=""),"",L1181-K1181)</x:f>
      </x:c>
      <x:c r="N1181" s="16" t="str">
        <x:f>IF(AND(A1181=A1180,ISNUMBER(K1181),ISNUMBER(K1180)),K1181-K1180,"")</x:f>
      </x:c>
      <x:c r="O1181" s="13" t="str">
        <x:v>Sem informação</x:v>
      </x:c>
      <x:c r="P1181" s="26"/>
      <x:c r="Q1181" s="13" t="str"/>
      <x:c r="R1181" s="13" t="str"/>
      <x:c r="S1181" s="13" t="str"/>
      <x:c r="T1181" s="13" t="str"/>
    </x:row>
    <x:row r="1182">
      <x:c r="A1182" s="13" t="str">
        <x:v>Éder Militão</x:v>
      </x:c>
      <x:c r="B1182" s="13" t="n">
        <x:v>2026</x:v>
      </x:c>
      <x:c r="C1182" s="13" t="str">
        <x:v>T1</x:v>
      </x:c>
      <x:c r="D1182" s="24" t="n">
        <x:v>46112</x:v>
      </x:c>
      <x:c r="E1182" s="13" t="str">
        <x:v>Zagueiro</x:v>
      </x:c>
      <x:c r="F1182" s="13" t="str">
        <x:v>Real Madrid CF</x:v>
      </x:c>
      <x:c r="G1182" s="16"/>
      <x:c r="H1182" s="16"/>
      <x:c r="I1182" s="16"/>
      <x:c r="J1182" s="16"/>
      <x:c r="K1182" s="16" t="str">
        <x:f>IF(COUNT(G1182,I1182)=0,"",AVERAGE(G1182,I1182))</x:f>
      </x:c>
      <x:c r="L1182" s="16" t="str">
        <x:f>IF(COUNT(H1182,J1182)=0,"",AVERAGE(H1182,J1182))</x:f>
      </x:c>
      <x:c r="M1182" s="16" t="str">
        <x:f>IF(OR(K1182="",L1182=""),"",L1182-K1182)</x:f>
      </x:c>
      <x:c r="N1182" s="16" t="str">
        <x:f>""</x:f>
      </x:c>
      <x:c r="O1182" s="13" t="str">
        <x:v>Sem informação</x:v>
      </x:c>
      <x:c r="P1182" s="26"/>
      <x:c r="Q1182" s="13" t="str"/>
      <x:c r="R1182" s="13" t="str"/>
      <x:c r="S1182" s="13" t="str"/>
      <x:c r="T1182" s="13" t="str"/>
    </x:row>
    <x:row r="1183">
      <x:c r="A1183" s="13" t="str">
        <x:v>Éder Militão</x:v>
      </x:c>
      <x:c r="B1183" s="13" t="n">
        <x:v>2026</x:v>
      </x:c>
      <x:c r="C1183" s="13" t="str">
        <x:v>T2</x:v>
      </x:c>
      <x:c r="D1183" s="24" t="n">
        <x:v>46203</x:v>
      </x:c>
      <x:c r="E1183" s="13" t="str">
        <x:v>Zagueiro</x:v>
      </x:c>
      <x:c r="F1183" s="13" t="str">
        <x:v>Real Madrid CF</x:v>
      </x:c>
      <x:c r="G1183" s="16"/>
      <x:c r="H1183" s="16"/>
      <x:c r="I1183" s="16"/>
      <x:c r="J1183" s="16"/>
      <x:c r="K1183" s="16" t="str">
        <x:f>IF(COUNT(G1183,I1183)=0,"",AVERAGE(G1183,I1183))</x:f>
      </x:c>
      <x:c r="L1183" s="16" t="str">
        <x:f>IF(COUNT(H1183,J1183)=0,"",AVERAGE(H1183,J1183))</x:f>
      </x:c>
      <x:c r="M1183" s="16" t="str">
        <x:f>IF(OR(K1183="",L1183=""),"",L1183-K1183)</x:f>
      </x:c>
      <x:c r="N1183" s="16" t="str">
        <x:f>IF(AND(A1183=A1182,ISNUMBER(K1183),ISNUMBER(K1182)),K1183-K1182,"")</x:f>
      </x:c>
      <x:c r="O1183" s="13" t="str">
        <x:v>Sem informação</x:v>
      </x:c>
      <x:c r="P1183" s="26"/>
      <x:c r="Q1183" s="13" t="str"/>
      <x:c r="R1183" s="13" t="str"/>
      <x:c r="S1183" s="13" t="str"/>
      <x:c r="T1183" s="13" t="str"/>
    </x:row>
    <x:row r="1184">
      <x:c r="A1184" s="13" t="str">
        <x:v>Éder Militão</x:v>
      </x:c>
      <x:c r="B1184" s="13" t="n">
        <x:v>2026</x:v>
      </x:c>
      <x:c r="C1184" s="13" t="str">
        <x:v>T3</x:v>
      </x:c>
      <x:c r="D1184" s="24" t="n">
        <x:v>46295</x:v>
      </x:c>
      <x:c r="E1184" s="13" t="str">
        <x:v>Zagueiro</x:v>
      </x:c>
      <x:c r="F1184" s="13" t="str">
        <x:v>Real Madrid CF</x:v>
      </x:c>
      <x:c r="G1184" s="16"/>
      <x:c r="H1184" s="16"/>
      <x:c r="I1184" s="16"/>
      <x:c r="J1184" s="16"/>
      <x:c r="K1184" s="16" t="str">
        <x:f>IF(COUNT(G1184,I1184)=0,"",AVERAGE(G1184,I1184))</x:f>
      </x:c>
      <x:c r="L1184" s="16" t="str">
        <x:f>IF(COUNT(H1184,J1184)=0,"",AVERAGE(H1184,J1184))</x:f>
      </x:c>
      <x:c r="M1184" s="16" t="str">
        <x:f>IF(OR(K1184="",L1184=""),"",L1184-K1184)</x:f>
      </x:c>
      <x:c r="N1184" s="16" t="str">
        <x:f>IF(AND(A1184=A1183,ISNUMBER(K1184),ISNUMBER(K1183)),K1184-K1183,"")</x:f>
      </x:c>
      <x:c r="O1184" s="13" t="str">
        <x:v>Sem informação</x:v>
      </x:c>
      <x:c r="P1184" s="26"/>
      <x:c r="Q1184" s="13" t="str"/>
      <x:c r="R1184" s="13" t="str"/>
      <x:c r="S1184" s="13" t="str"/>
      <x:c r="T1184" s="13" t="str"/>
    </x:row>
    <x:row r="1185">
      <x:c r="A1185" s="13" t="str">
        <x:v>Éder Militão</x:v>
      </x:c>
      <x:c r="B1185" s="13" t="n">
        <x:v>2026</x:v>
      </x:c>
      <x:c r="C1185" s="13" t="str">
        <x:v>T4</x:v>
      </x:c>
      <x:c r="D1185" s="24" t="n">
        <x:v>46387</x:v>
      </x:c>
      <x:c r="E1185" s="13" t="str">
        <x:v>Zagueiro</x:v>
      </x:c>
      <x:c r="F1185" s="13" t="str">
        <x:v>Real Madrid CF</x:v>
      </x:c>
      <x:c r="G1185" s="16"/>
      <x:c r="H1185" s="16"/>
      <x:c r="I1185" s="16"/>
      <x:c r="J1185" s="16"/>
      <x:c r="K1185" s="16" t="str">
        <x:f>IF(COUNT(G1185,I1185)=0,"",AVERAGE(G1185,I1185))</x:f>
      </x:c>
      <x:c r="L1185" s="16" t="str">
        <x:f>IF(COUNT(H1185,J1185)=0,"",AVERAGE(H1185,J1185))</x:f>
      </x:c>
      <x:c r="M1185" s="16" t="str">
        <x:f>IF(OR(K1185="",L1185=""),"",L1185-K1185)</x:f>
      </x:c>
      <x:c r="N1185" s="16" t="str">
        <x:f>IF(AND(A1185=A1184,ISNUMBER(K1185),ISNUMBER(K1184)),K1185-K1184,"")</x:f>
      </x:c>
      <x:c r="O1185" s="13" t="str">
        <x:v>Sem informação</x:v>
      </x:c>
      <x:c r="P1185" s="26"/>
      <x:c r="Q1185" s="13" t="str"/>
      <x:c r="R1185" s="13" t="str"/>
      <x:c r="S1185" s="13" t="str"/>
      <x:c r="T1185" s="13" t="str"/>
    </x:row>
    <x:row r="1186">
      <x:c r="A1186" s="13" t="str">
        <x:v>Éder Militão</x:v>
      </x:c>
      <x:c r="B1186" s="13" t="n">
        <x:v>2027</x:v>
      </x:c>
      <x:c r="C1186" s="13" t="str">
        <x:v>T1</x:v>
      </x:c>
      <x:c r="D1186" s="24" t="n">
        <x:v>46477</x:v>
      </x:c>
      <x:c r="E1186" s="13" t="str">
        <x:v>Zagueiro</x:v>
      </x:c>
      <x:c r="F1186" s="13" t="str">
        <x:v>Real Madrid CF</x:v>
      </x:c>
      <x:c r="G1186" s="16"/>
      <x:c r="H1186" s="16"/>
      <x:c r="I1186" s="16"/>
      <x:c r="J1186" s="16"/>
      <x:c r="K1186" s="16" t="str">
        <x:f>IF(COUNT(G1186,I1186)=0,"",AVERAGE(G1186,I1186))</x:f>
      </x:c>
      <x:c r="L1186" s="16" t="str">
        <x:f>IF(COUNT(H1186,J1186)=0,"",AVERAGE(H1186,J1186))</x:f>
      </x:c>
      <x:c r="M1186" s="16" t="str">
        <x:f>IF(OR(K1186="",L1186=""),"",L1186-K1186)</x:f>
      </x:c>
      <x:c r="N1186" s="16" t="str">
        <x:f>IF(AND(A1186=A1185,ISNUMBER(K1186),ISNUMBER(K1185)),K1186-K1185,"")</x:f>
      </x:c>
      <x:c r="O1186" s="13" t="str">
        <x:v>Sem informação</x:v>
      </x:c>
      <x:c r="P1186" s="26"/>
      <x:c r="Q1186" s="13" t="str"/>
      <x:c r="R1186" s="13" t="str"/>
      <x:c r="S1186" s="13" t="str"/>
      <x:c r="T1186" s="13" t="str"/>
    </x:row>
    <x:row r="1187">
      <x:c r="A1187" s="13" t="str">
        <x:v>Éder Militão</x:v>
      </x:c>
      <x:c r="B1187" s="13" t="n">
        <x:v>2027</x:v>
      </x:c>
      <x:c r="C1187" s="13" t="str">
        <x:v>T2</x:v>
      </x:c>
      <x:c r="D1187" s="24" t="n">
        <x:v>46568</x:v>
      </x:c>
      <x:c r="E1187" s="13" t="str">
        <x:v>Zagueiro</x:v>
      </x:c>
      <x:c r="F1187" s="13" t="str">
        <x:v>Real Madrid CF</x:v>
      </x:c>
      <x:c r="G1187" s="16"/>
      <x:c r="H1187" s="16"/>
      <x:c r="I1187" s="16"/>
      <x:c r="J1187" s="16"/>
      <x:c r="K1187" s="16" t="str">
        <x:f>IF(COUNT(G1187,I1187)=0,"",AVERAGE(G1187,I1187))</x:f>
      </x:c>
      <x:c r="L1187" s="16" t="str">
        <x:f>IF(COUNT(H1187,J1187)=0,"",AVERAGE(H1187,J1187))</x:f>
      </x:c>
      <x:c r="M1187" s="16" t="str">
        <x:f>IF(OR(K1187="",L1187=""),"",L1187-K1187)</x:f>
      </x:c>
      <x:c r="N1187" s="16" t="str">
        <x:f>IF(AND(A1187=A1186,ISNUMBER(K1187),ISNUMBER(K1186)),K1187-K1186,"")</x:f>
      </x:c>
      <x:c r="O1187" s="13" t="str">
        <x:v>Sem informação</x:v>
      </x:c>
      <x:c r="P1187" s="26"/>
      <x:c r="Q1187" s="13" t="str"/>
      <x:c r="R1187" s="13" t="str"/>
      <x:c r="S1187" s="13" t="str"/>
      <x:c r="T1187" s="13" t="str"/>
    </x:row>
    <x:row r="1188">
      <x:c r="A1188" s="13" t="str">
        <x:v>Éder Militão</x:v>
      </x:c>
      <x:c r="B1188" s="13" t="n">
        <x:v>2027</x:v>
      </x:c>
      <x:c r="C1188" s="13" t="str">
        <x:v>T3</x:v>
      </x:c>
      <x:c r="D1188" s="24" t="n">
        <x:v>46660</x:v>
      </x:c>
      <x:c r="E1188" s="13" t="str">
        <x:v>Zagueiro</x:v>
      </x:c>
      <x:c r="F1188" s="13" t="str">
        <x:v>Real Madrid CF</x:v>
      </x:c>
      <x:c r="G1188" s="16"/>
      <x:c r="H1188" s="16"/>
      <x:c r="I1188" s="16"/>
      <x:c r="J1188" s="16"/>
      <x:c r="K1188" s="16" t="str">
        <x:f>IF(COUNT(G1188,I1188)=0,"",AVERAGE(G1188,I1188))</x:f>
      </x:c>
      <x:c r="L1188" s="16" t="str">
        <x:f>IF(COUNT(H1188,J1188)=0,"",AVERAGE(H1188,J1188))</x:f>
      </x:c>
      <x:c r="M1188" s="16" t="str">
        <x:f>IF(OR(K1188="",L1188=""),"",L1188-K1188)</x:f>
      </x:c>
      <x:c r="N1188" s="16" t="str">
        <x:f>IF(AND(A1188=A1187,ISNUMBER(K1188),ISNUMBER(K1187)),K1188-K1187,"")</x:f>
      </x:c>
      <x:c r="O1188" s="13" t="str">
        <x:v>Sem informação</x:v>
      </x:c>
      <x:c r="P1188" s="26"/>
      <x:c r="Q1188" s="13" t="str"/>
      <x:c r="R1188" s="13" t="str"/>
      <x:c r="S1188" s="13" t="str"/>
      <x:c r="T1188" s="13" t="str"/>
    </x:row>
    <x:row r="1189">
      <x:c r="A1189" s="13" t="str">
        <x:v>Éder Militão</x:v>
      </x:c>
      <x:c r="B1189" s="13" t="n">
        <x:v>2027</x:v>
      </x:c>
      <x:c r="C1189" s="13" t="str">
        <x:v>T4</x:v>
      </x:c>
      <x:c r="D1189" s="24" t="n">
        <x:v>46752</x:v>
      </x:c>
      <x:c r="E1189" s="13" t="str">
        <x:v>Zagueiro</x:v>
      </x:c>
      <x:c r="F1189" s="13" t="str">
        <x:v>Real Madrid CF</x:v>
      </x:c>
      <x:c r="G1189" s="16"/>
      <x:c r="H1189" s="16"/>
      <x:c r="I1189" s="16"/>
      <x:c r="J1189" s="16"/>
      <x:c r="K1189" s="16" t="str">
        <x:f>IF(COUNT(G1189,I1189)=0,"",AVERAGE(G1189,I1189))</x:f>
      </x:c>
      <x:c r="L1189" s="16" t="str">
        <x:f>IF(COUNT(H1189,J1189)=0,"",AVERAGE(H1189,J1189))</x:f>
      </x:c>
      <x:c r="M1189" s="16" t="str">
        <x:f>IF(OR(K1189="",L1189=""),"",L1189-K1189)</x:f>
      </x:c>
      <x:c r="N1189" s="16" t="str">
        <x:f>IF(AND(A1189=A1188,ISNUMBER(K1189),ISNUMBER(K1188)),K1189-K1188,"")</x:f>
      </x:c>
      <x:c r="O1189" s="13" t="str">
        <x:v>Sem informação</x:v>
      </x:c>
      <x:c r="P1189" s="26"/>
      <x:c r="Q1189" s="13" t="str"/>
      <x:c r="R1189" s="13" t="str"/>
      <x:c r="S1189" s="13" t="str"/>
      <x:c r="T1189" s="13" t="str"/>
    </x:row>
    <x:row r="1190">
      <x:c r="A1190" s="13" t="str">
        <x:v>Éder Militão</x:v>
      </x:c>
      <x:c r="B1190" s="13" t="n">
        <x:v>2028</x:v>
      </x:c>
      <x:c r="C1190" s="13" t="str">
        <x:v>T1</x:v>
      </x:c>
      <x:c r="D1190" s="24" t="n">
        <x:v>46843</x:v>
      </x:c>
      <x:c r="E1190" s="13" t="str">
        <x:v>Zagueiro</x:v>
      </x:c>
      <x:c r="F1190" s="13" t="str">
        <x:v>Real Madrid CF</x:v>
      </x:c>
      <x:c r="G1190" s="16"/>
      <x:c r="H1190" s="16"/>
      <x:c r="I1190" s="16"/>
      <x:c r="J1190" s="16"/>
      <x:c r="K1190" s="16" t="str">
        <x:f>IF(COUNT(G1190,I1190)=0,"",AVERAGE(G1190,I1190))</x:f>
      </x:c>
      <x:c r="L1190" s="16" t="str">
        <x:f>IF(COUNT(H1190,J1190)=0,"",AVERAGE(H1190,J1190))</x:f>
      </x:c>
      <x:c r="M1190" s="16" t="str">
        <x:f>IF(OR(K1190="",L1190=""),"",L1190-K1190)</x:f>
      </x:c>
      <x:c r="N1190" s="16" t="str">
        <x:f>IF(AND(A1190=A1189,ISNUMBER(K1190),ISNUMBER(K1189)),K1190-K1189,"")</x:f>
      </x:c>
      <x:c r="O1190" s="13" t="str">
        <x:v>Sem informação</x:v>
      </x:c>
      <x:c r="P1190" s="26"/>
      <x:c r="Q1190" s="13" t="str"/>
      <x:c r="R1190" s="13" t="str"/>
      <x:c r="S1190" s="13" t="str"/>
      <x:c r="T1190" s="13" t="str"/>
    </x:row>
    <x:row r="1191">
      <x:c r="A1191" s="13" t="str">
        <x:v>Éder Militão</x:v>
      </x:c>
      <x:c r="B1191" s="13" t="n">
        <x:v>2028</x:v>
      </x:c>
      <x:c r="C1191" s="13" t="str">
        <x:v>T2</x:v>
      </x:c>
      <x:c r="D1191" s="24" t="n">
        <x:v>46934</x:v>
      </x:c>
      <x:c r="E1191" s="13" t="str">
        <x:v>Zagueiro</x:v>
      </x:c>
      <x:c r="F1191" s="13" t="str">
        <x:v>Real Madrid CF</x:v>
      </x:c>
      <x:c r="G1191" s="16"/>
      <x:c r="H1191" s="16"/>
      <x:c r="I1191" s="16"/>
      <x:c r="J1191" s="16"/>
      <x:c r="K1191" s="16" t="str">
        <x:f>IF(COUNT(G1191,I1191)=0,"",AVERAGE(G1191,I1191))</x:f>
      </x:c>
      <x:c r="L1191" s="16" t="str">
        <x:f>IF(COUNT(H1191,J1191)=0,"",AVERAGE(H1191,J1191))</x:f>
      </x:c>
      <x:c r="M1191" s="16" t="str">
        <x:f>IF(OR(K1191="",L1191=""),"",L1191-K1191)</x:f>
      </x:c>
      <x:c r="N1191" s="16" t="str">
        <x:f>IF(AND(A1191=A1190,ISNUMBER(K1191),ISNUMBER(K1190)),K1191-K1190,"")</x:f>
      </x:c>
      <x:c r="O1191" s="13" t="str">
        <x:v>Sem informação</x:v>
      </x:c>
      <x:c r="P1191" s="26"/>
      <x:c r="Q1191" s="13" t="str"/>
      <x:c r="R1191" s="13" t="str"/>
      <x:c r="S1191" s="13" t="str"/>
      <x:c r="T1191" s="13" t="str"/>
    </x:row>
    <x:row r="1192">
      <x:c r="A1192" s="13" t="str">
        <x:v>Éder Militão</x:v>
      </x:c>
      <x:c r="B1192" s="13" t="n">
        <x:v>2028</x:v>
      </x:c>
      <x:c r="C1192" s="13" t="str">
        <x:v>T3</x:v>
      </x:c>
      <x:c r="D1192" s="24" t="n">
        <x:v>47026</x:v>
      </x:c>
      <x:c r="E1192" s="13" t="str">
        <x:v>Zagueiro</x:v>
      </x:c>
      <x:c r="F1192" s="13" t="str">
        <x:v>Real Madrid CF</x:v>
      </x:c>
      <x:c r="G1192" s="16"/>
      <x:c r="H1192" s="16"/>
      <x:c r="I1192" s="16"/>
      <x:c r="J1192" s="16"/>
      <x:c r="K1192" s="16" t="str">
        <x:f>IF(COUNT(G1192,I1192)=0,"",AVERAGE(G1192,I1192))</x:f>
      </x:c>
      <x:c r="L1192" s="16" t="str">
        <x:f>IF(COUNT(H1192,J1192)=0,"",AVERAGE(H1192,J1192))</x:f>
      </x:c>
      <x:c r="M1192" s="16" t="str">
        <x:f>IF(OR(K1192="",L1192=""),"",L1192-K1192)</x:f>
      </x:c>
      <x:c r="N1192" s="16" t="str">
        <x:f>IF(AND(A1192=A1191,ISNUMBER(K1192),ISNUMBER(K1191)),K1192-K1191,"")</x:f>
      </x:c>
      <x:c r="O1192" s="13" t="str">
        <x:v>Sem informação</x:v>
      </x:c>
      <x:c r="P1192" s="26"/>
      <x:c r="Q1192" s="13" t="str"/>
      <x:c r="R1192" s="13" t="str"/>
      <x:c r="S1192" s="13" t="str"/>
      <x:c r="T1192" s="13" t="str"/>
    </x:row>
    <x:row r="1193">
      <x:c r="A1193" s="13" t="str">
        <x:v>Éder Militão</x:v>
      </x:c>
      <x:c r="B1193" s="13" t="n">
        <x:v>2028</x:v>
      </x:c>
      <x:c r="C1193" s="13" t="str">
        <x:v>T4</x:v>
      </x:c>
      <x:c r="D1193" s="24" t="n">
        <x:v>47118</x:v>
      </x:c>
      <x:c r="E1193" s="13" t="str">
        <x:v>Zagueiro</x:v>
      </x:c>
      <x:c r="F1193" s="13" t="str">
        <x:v>Real Madrid CF</x:v>
      </x:c>
      <x:c r="G1193" s="16"/>
      <x:c r="H1193" s="16"/>
      <x:c r="I1193" s="16"/>
      <x:c r="J1193" s="16"/>
      <x:c r="K1193" s="16" t="str">
        <x:f>IF(COUNT(G1193,I1193)=0,"",AVERAGE(G1193,I1193))</x:f>
      </x:c>
      <x:c r="L1193" s="16" t="str">
        <x:f>IF(COUNT(H1193,J1193)=0,"",AVERAGE(H1193,J1193))</x:f>
      </x:c>
      <x:c r="M1193" s="16" t="str">
        <x:f>IF(OR(K1193="",L1193=""),"",L1193-K1193)</x:f>
      </x:c>
      <x:c r="N1193" s="16" t="str">
        <x:f>IF(AND(A1193=A1192,ISNUMBER(K1193),ISNUMBER(K1192)),K1193-K1192,"")</x:f>
      </x:c>
      <x:c r="O1193" s="13" t="str">
        <x:v>Sem informação</x:v>
      </x:c>
      <x:c r="P1193" s="26"/>
      <x:c r="Q1193" s="13" t="str"/>
      <x:c r="R1193" s="13" t="str"/>
      <x:c r="S1193" s="13" t="str"/>
      <x:c r="T1193" s="13" t="str"/>
    </x:row>
    <x:row r="1194">
      <x:c r="A1194" s="13" t="str">
        <x:v>Éder Militão</x:v>
      </x:c>
      <x:c r="B1194" s="13" t="n">
        <x:v>2029</x:v>
      </x:c>
      <x:c r="C1194" s="13" t="str">
        <x:v>T1</x:v>
      </x:c>
      <x:c r="D1194" s="24" t="n">
        <x:v>47208</x:v>
      </x:c>
      <x:c r="E1194" s="13" t="str">
        <x:v>Zagueiro</x:v>
      </x:c>
      <x:c r="F1194" s="13" t="str">
        <x:v>Real Madrid CF</x:v>
      </x:c>
      <x:c r="G1194" s="16"/>
      <x:c r="H1194" s="16"/>
      <x:c r="I1194" s="16"/>
      <x:c r="J1194" s="16"/>
      <x:c r="K1194" s="16" t="str">
        <x:f>IF(COUNT(G1194,I1194)=0,"",AVERAGE(G1194,I1194))</x:f>
      </x:c>
      <x:c r="L1194" s="16" t="str">
        <x:f>IF(COUNT(H1194,J1194)=0,"",AVERAGE(H1194,J1194))</x:f>
      </x:c>
      <x:c r="M1194" s="16" t="str">
        <x:f>IF(OR(K1194="",L1194=""),"",L1194-K1194)</x:f>
      </x:c>
      <x:c r="N1194" s="16" t="str">
        <x:f>IF(AND(A1194=A1193,ISNUMBER(K1194),ISNUMBER(K1193)),K1194-K1193,"")</x:f>
      </x:c>
      <x:c r="O1194" s="13" t="str">
        <x:v>Sem informação</x:v>
      </x:c>
      <x:c r="P1194" s="26"/>
      <x:c r="Q1194" s="13" t="str"/>
      <x:c r="R1194" s="13" t="str"/>
      <x:c r="S1194" s="13" t="str"/>
      <x:c r="T1194" s="13" t="str"/>
    </x:row>
    <x:row r="1195">
      <x:c r="A1195" s="13" t="str">
        <x:v>Éder Militão</x:v>
      </x:c>
      <x:c r="B1195" s="13" t="n">
        <x:v>2029</x:v>
      </x:c>
      <x:c r="C1195" s="13" t="str">
        <x:v>T2</x:v>
      </x:c>
      <x:c r="D1195" s="24" t="n">
        <x:v>47299</x:v>
      </x:c>
      <x:c r="E1195" s="13" t="str">
        <x:v>Zagueiro</x:v>
      </x:c>
      <x:c r="F1195" s="13" t="str">
        <x:v>Real Madrid CF</x:v>
      </x:c>
      <x:c r="G1195" s="16"/>
      <x:c r="H1195" s="16"/>
      <x:c r="I1195" s="16"/>
      <x:c r="J1195" s="16"/>
      <x:c r="K1195" s="16" t="str">
        <x:f>IF(COUNT(G1195,I1195)=0,"",AVERAGE(G1195,I1195))</x:f>
      </x:c>
      <x:c r="L1195" s="16" t="str">
        <x:f>IF(COUNT(H1195,J1195)=0,"",AVERAGE(H1195,J1195))</x:f>
      </x:c>
      <x:c r="M1195" s="16" t="str">
        <x:f>IF(OR(K1195="",L1195=""),"",L1195-K1195)</x:f>
      </x:c>
      <x:c r="N1195" s="16" t="str">
        <x:f>IF(AND(A1195=A1194,ISNUMBER(K1195),ISNUMBER(K1194)),K1195-K1194,"")</x:f>
      </x:c>
      <x:c r="O1195" s="13" t="str">
        <x:v>Sem informação</x:v>
      </x:c>
      <x:c r="P1195" s="26"/>
      <x:c r="Q1195" s="13" t="str"/>
      <x:c r="R1195" s="13" t="str"/>
      <x:c r="S1195" s="13" t="str"/>
      <x:c r="T1195" s="13" t="str"/>
    </x:row>
    <x:row r="1196">
      <x:c r="A1196" s="13" t="str">
        <x:v>Éder Militão</x:v>
      </x:c>
      <x:c r="B1196" s="13" t="n">
        <x:v>2029</x:v>
      </x:c>
      <x:c r="C1196" s="13" t="str">
        <x:v>T3</x:v>
      </x:c>
      <x:c r="D1196" s="24" t="n">
        <x:v>47391</x:v>
      </x:c>
      <x:c r="E1196" s="13" t="str">
        <x:v>Zagueiro</x:v>
      </x:c>
      <x:c r="F1196" s="13" t="str">
        <x:v>Real Madrid CF</x:v>
      </x:c>
      <x:c r="G1196" s="16"/>
      <x:c r="H1196" s="16"/>
      <x:c r="I1196" s="16"/>
      <x:c r="J1196" s="16"/>
      <x:c r="K1196" s="16" t="str">
        <x:f>IF(COUNT(G1196,I1196)=0,"",AVERAGE(G1196,I1196))</x:f>
      </x:c>
      <x:c r="L1196" s="16" t="str">
        <x:f>IF(COUNT(H1196,J1196)=0,"",AVERAGE(H1196,J1196))</x:f>
      </x:c>
      <x:c r="M1196" s="16" t="str">
        <x:f>IF(OR(K1196="",L1196=""),"",L1196-K1196)</x:f>
      </x:c>
      <x:c r="N1196" s="16" t="str">
        <x:f>IF(AND(A1196=A1195,ISNUMBER(K1196),ISNUMBER(K1195)),K1196-K1195,"")</x:f>
      </x:c>
      <x:c r="O1196" s="13" t="str">
        <x:v>Sem informação</x:v>
      </x:c>
      <x:c r="P1196" s="26"/>
      <x:c r="Q1196" s="13" t="str"/>
      <x:c r="R1196" s="13" t="str"/>
      <x:c r="S1196" s="13" t="str"/>
      <x:c r="T1196" s="13" t="str"/>
    </x:row>
    <x:row r="1197">
      <x:c r="A1197" s="13" t="str">
        <x:v>Éder Militão</x:v>
      </x:c>
      <x:c r="B1197" s="13" t="n">
        <x:v>2029</x:v>
      </x:c>
      <x:c r="C1197" s="13" t="str">
        <x:v>T4</x:v>
      </x:c>
      <x:c r="D1197" s="24" t="n">
        <x:v>47483</x:v>
      </x:c>
      <x:c r="E1197" s="13" t="str">
        <x:v>Zagueiro</x:v>
      </x:c>
      <x:c r="F1197" s="13" t="str">
        <x:v>Real Madrid CF</x:v>
      </x:c>
      <x:c r="G1197" s="16"/>
      <x:c r="H1197" s="16"/>
      <x:c r="I1197" s="16"/>
      <x:c r="J1197" s="16"/>
      <x:c r="K1197" s="16" t="str">
        <x:f>IF(COUNT(G1197,I1197)=0,"",AVERAGE(G1197,I1197))</x:f>
      </x:c>
      <x:c r="L1197" s="16" t="str">
        <x:f>IF(COUNT(H1197,J1197)=0,"",AVERAGE(H1197,J1197))</x:f>
      </x:c>
      <x:c r="M1197" s="16" t="str">
        <x:f>IF(OR(K1197="",L1197=""),"",L1197-K1197)</x:f>
      </x:c>
      <x:c r="N1197" s="16" t="str">
        <x:f>IF(AND(A1197=A1196,ISNUMBER(K1197),ISNUMBER(K1196)),K1197-K1196,"")</x:f>
      </x:c>
      <x:c r="O1197" s="13" t="str">
        <x:v>Sem informação</x:v>
      </x:c>
      <x:c r="P1197" s="26"/>
      <x:c r="Q1197" s="13" t="str"/>
      <x:c r="R1197" s="13" t="str"/>
      <x:c r="S1197" s="13" t="str"/>
      <x:c r="T1197" s="13" t="str"/>
    </x:row>
    <x:row r="1198">
      <x:c r="A1198" s="13" t="str">
        <x:v>Éder Militão</x:v>
      </x:c>
      <x:c r="B1198" s="13" t="n">
        <x:v>2030</x:v>
      </x:c>
      <x:c r="C1198" s="13" t="str">
        <x:v>T1</x:v>
      </x:c>
      <x:c r="D1198" s="24" t="n">
        <x:v>47573</x:v>
      </x:c>
      <x:c r="E1198" s="13" t="str">
        <x:v>Zagueiro</x:v>
      </x:c>
      <x:c r="F1198" s="13" t="str">
        <x:v>Real Madrid CF</x:v>
      </x:c>
      <x:c r="G1198" s="16"/>
      <x:c r="H1198" s="16"/>
      <x:c r="I1198" s="16"/>
      <x:c r="J1198" s="16"/>
      <x:c r="K1198" s="16" t="str">
        <x:f>IF(COUNT(G1198,I1198)=0,"",AVERAGE(G1198,I1198))</x:f>
      </x:c>
      <x:c r="L1198" s="16" t="str">
        <x:f>IF(COUNT(H1198,J1198)=0,"",AVERAGE(H1198,J1198))</x:f>
      </x:c>
      <x:c r="M1198" s="16" t="str">
        <x:f>IF(OR(K1198="",L1198=""),"",L1198-K1198)</x:f>
      </x:c>
      <x:c r="N1198" s="16" t="str">
        <x:f>IF(AND(A1198=A1197,ISNUMBER(K1198),ISNUMBER(K1197)),K1198-K1197,"")</x:f>
      </x:c>
      <x:c r="O1198" s="13" t="str">
        <x:v>Sem informação</x:v>
      </x:c>
      <x:c r="P1198" s="26"/>
      <x:c r="Q1198" s="13" t="str"/>
      <x:c r="R1198" s="13" t="str"/>
      <x:c r="S1198" s="13" t="str"/>
      <x:c r="T1198" s="13" t="str"/>
    </x:row>
    <x:row r="1199">
      <x:c r="A1199" s="13" t="str">
        <x:v>Éder Militão</x:v>
      </x:c>
      <x:c r="B1199" s="13" t="n">
        <x:v>2030</x:v>
      </x:c>
      <x:c r="C1199" s="13" t="str">
        <x:v>T2</x:v>
      </x:c>
      <x:c r="D1199" s="24" t="n">
        <x:v>47664</x:v>
      </x:c>
      <x:c r="E1199" s="13" t="str">
        <x:v>Zagueiro</x:v>
      </x:c>
      <x:c r="F1199" s="13" t="str">
        <x:v>Real Madrid CF</x:v>
      </x:c>
      <x:c r="G1199" s="16"/>
      <x:c r="H1199" s="16"/>
      <x:c r="I1199" s="16"/>
      <x:c r="J1199" s="16"/>
      <x:c r="K1199" s="16" t="str">
        <x:f>IF(COUNT(G1199,I1199)=0,"",AVERAGE(G1199,I1199))</x:f>
      </x:c>
      <x:c r="L1199" s="16" t="str">
        <x:f>IF(COUNT(H1199,J1199)=0,"",AVERAGE(H1199,J1199))</x:f>
      </x:c>
      <x:c r="M1199" s="16" t="str">
        <x:f>IF(OR(K1199="",L1199=""),"",L1199-K1199)</x:f>
      </x:c>
      <x:c r="N1199" s="16" t="str">
        <x:f>IF(AND(A1199=A1198,ISNUMBER(K1199),ISNUMBER(K1198)),K1199-K1198,"")</x:f>
      </x:c>
      <x:c r="O1199" s="13" t="str">
        <x:v>Sem informação</x:v>
      </x:c>
      <x:c r="P1199" s="26"/>
      <x:c r="Q1199" s="13" t="str"/>
      <x:c r="R1199" s="13" t="str"/>
      <x:c r="S1199" s="13" t="str"/>
      <x:c r="T1199" s="13" t="str"/>
    </x:row>
    <x:row r="1200">
      <x:c r="A1200" s="13" t="str">
        <x:v>Éder Militão</x:v>
      </x:c>
      <x:c r="B1200" s="13" t="n">
        <x:v>2030</x:v>
      </x:c>
      <x:c r="C1200" s="13" t="str">
        <x:v>T3</x:v>
      </x:c>
      <x:c r="D1200" s="24" t="n">
        <x:v>47756</x:v>
      </x:c>
      <x:c r="E1200" s="13" t="str">
        <x:v>Zagueiro</x:v>
      </x:c>
      <x:c r="F1200" s="13" t="str">
        <x:v>Real Madrid CF</x:v>
      </x:c>
      <x:c r="G1200" s="16"/>
      <x:c r="H1200" s="16"/>
      <x:c r="I1200" s="16"/>
      <x:c r="J1200" s="16"/>
      <x:c r="K1200" s="16" t="str">
        <x:f>IF(COUNT(G1200,I1200)=0,"",AVERAGE(G1200,I1200))</x:f>
      </x:c>
      <x:c r="L1200" s="16" t="str">
        <x:f>IF(COUNT(H1200,J1200)=0,"",AVERAGE(H1200,J1200))</x:f>
      </x:c>
      <x:c r="M1200" s="16" t="str">
        <x:f>IF(OR(K1200="",L1200=""),"",L1200-K1200)</x:f>
      </x:c>
      <x:c r="N1200" s="16" t="str">
        <x:f>IF(AND(A1200=A1199,ISNUMBER(K1200),ISNUMBER(K1199)),K1200-K1199,"")</x:f>
      </x:c>
      <x:c r="O1200" s="13" t="str">
        <x:v>Sem informação</x:v>
      </x:c>
      <x:c r="P1200" s="26"/>
      <x:c r="Q1200" s="13" t="str"/>
      <x:c r="R1200" s="13" t="str"/>
      <x:c r="S1200" s="13" t="str"/>
      <x:c r="T1200" s="13" t="str"/>
    </x:row>
    <x:row r="1201">
      <x:c r="A1201" s="13" t="str">
        <x:v>Éder Militão</x:v>
      </x:c>
      <x:c r="B1201" s="13" t="n">
        <x:v>2030</x:v>
      </x:c>
      <x:c r="C1201" s="13" t="str">
        <x:v>T4</x:v>
      </x:c>
      <x:c r="D1201" s="24" t="n">
        <x:v>47848</x:v>
      </x:c>
      <x:c r="E1201" s="13" t="str">
        <x:v>Zagueiro</x:v>
      </x:c>
      <x:c r="F1201" s="13" t="str">
        <x:v>Real Madrid CF</x:v>
      </x:c>
      <x:c r="G1201" s="16"/>
      <x:c r="H1201" s="16"/>
      <x:c r="I1201" s="16"/>
      <x:c r="J1201" s="16"/>
      <x:c r="K1201" s="16" t="str">
        <x:f>IF(COUNT(G1201,I1201)=0,"",AVERAGE(G1201,I1201))</x:f>
      </x:c>
      <x:c r="L1201" s="16" t="str">
        <x:f>IF(COUNT(H1201,J1201)=0,"",AVERAGE(H1201,J1201))</x:f>
      </x:c>
      <x:c r="M1201" s="16" t="str">
        <x:f>IF(OR(K1201="",L1201=""),"",L1201-K1201)</x:f>
      </x:c>
      <x:c r="N1201" s="16" t="str">
        <x:f>IF(AND(A1201=A1200,ISNUMBER(K1201),ISNUMBER(K1200)),K1201-K1200,"")</x:f>
      </x:c>
      <x:c r="O1201" s="13" t="str">
        <x:v>Sem informação</x:v>
      </x:c>
      <x:c r="P1201" s="26"/>
      <x:c r="Q1201" s="13" t="str"/>
      <x:c r="R1201" s="13" t="str"/>
      <x:c r="S1201" s="13" t="str"/>
      <x:c r="T1201" s="13" t="str"/>
    </x:row>
    <x:row r="1202">
      <x:c r="A1202" s="13" t="str">
        <x:v>Éderson</x:v>
      </x:c>
      <x:c r="B1202" s="13" t="n">
        <x:v>2026</x:v>
      </x:c>
      <x:c r="C1202" s="13" t="str">
        <x:v>T1</x:v>
      </x:c>
      <x:c r="D1202" s="24" t="n">
        <x:v>46112</x:v>
      </x:c>
      <x:c r="E1202" s="13" t="str">
        <x:v>Mezzala direito</x:v>
      </x:c>
      <x:c r="F1202" s="13" t="str">
        <x:v>Manchester United FC</x:v>
      </x:c>
      <x:c r="G1202" s="16"/>
      <x:c r="H1202" s="16"/>
      <x:c r="I1202" s="16"/>
      <x:c r="J1202" s="16"/>
      <x:c r="K1202" s="16" t="str">
        <x:f>IF(COUNT(G1202,I1202)=0,"",AVERAGE(G1202,I1202))</x:f>
      </x:c>
      <x:c r="L1202" s="16" t="str">
        <x:f>IF(COUNT(H1202,J1202)=0,"",AVERAGE(H1202,J1202))</x:f>
      </x:c>
      <x:c r="M1202" s="16" t="str">
        <x:f>IF(OR(K1202="",L1202=""),"",L1202-K1202)</x:f>
      </x:c>
      <x:c r="N1202" s="16" t="str">
        <x:f>""</x:f>
      </x:c>
      <x:c r="O1202" s="13" t="str">
        <x:v>Sem informação</x:v>
      </x:c>
      <x:c r="P1202" s="26"/>
      <x:c r="Q1202" s="13" t="str"/>
      <x:c r="R1202" s="13" t="str"/>
      <x:c r="S1202" s="13" t="str"/>
      <x:c r="T1202" s="13" t="str"/>
    </x:row>
    <x:row r="1203">
      <x:c r="A1203" s="13" t="str">
        <x:v>Éderson</x:v>
      </x:c>
      <x:c r="B1203" s="13" t="n">
        <x:v>2026</x:v>
      </x:c>
      <x:c r="C1203" s="13" t="str">
        <x:v>T2</x:v>
      </x:c>
      <x:c r="D1203" s="24" t="n">
        <x:v>46203</x:v>
      </x:c>
      <x:c r="E1203" s="13" t="str">
        <x:v>Mezzala direito</x:v>
      </x:c>
      <x:c r="F1203" s="13" t="str">
        <x:v>Manchester United FC</x:v>
      </x:c>
      <x:c r="G1203" s="16"/>
      <x:c r="H1203" s="16"/>
      <x:c r="I1203" s="16"/>
      <x:c r="J1203" s="16"/>
      <x:c r="K1203" s="16" t="str">
        <x:f>IF(COUNT(G1203,I1203)=0,"",AVERAGE(G1203,I1203))</x:f>
      </x:c>
      <x:c r="L1203" s="16" t="str">
        <x:f>IF(COUNT(H1203,J1203)=0,"",AVERAGE(H1203,J1203))</x:f>
      </x:c>
      <x:c r="M1203" s="16" t="str">
        <x:f>IF(OR(K1203="",L1203=""),"",L1203-K1203)</x:f>
      </x:c>
      <x:c r="N1203" s="16" t="str">
        <x:f>IF(AND(A1203=A1202,ISNUMBER(K1203),ISNUMBER(K1202)),K1203-K1202,"")</x:f>
      </x:c>
      <x:c r="O1203" s="13" t="str">
        <x:v>Sem informação</x:v>
      </x:c>
      <x:c r="P1203" s="26"/>
      <x:c r="Q1203" s="13" t="str"/>
      <x:c r="R1203" s="13" t="str"/>
      <x:c r="S1203" s="13" t="str"/>
      <x:c r="T1203" s="13" t="str"/>
    </x:row>
    <x:row r="1204">
      <x:c r="A1204" s="13" t="str">
        <x:v>Éderson</x:v>
      </x:c>
      <x:c r="B1204" s="13" t="n">
        <x:v>2026</x:v>
      </x:c>
      <x:c r="C1204" s="13" t="str">
        <x:v>T3</x:v>
      </x:c>
      <x:c r="D1204" s="24" t="n">
        <x:v>46295</x:v>
      </x:c>
      <x:c r="E1204" s="13" t="str">
        <x:v>Mezzala direito</x:v>
      </x:c>
      <x:c r="F1204" s="13" t="str">
        <x:v>Manchester United FC</x:v>
      </x:c>
      <x:c r="G1204" s="16"/>
      <x:c r="H1204" s="16"/>
      <x:c r="I1204" s="16"/>
      <x:c r="J1204" s="16"/>
      <x:c r="K1204" s="16" t="str">
        <x:f>IF(COUNT(G1204,I1204)=0,"",AVERAGE(G1204,I1204))</x:f>
      </x:c>
      <x:c r="L1204" s="16" t="str">
        <x:f>IF(COUNT(H1204,J1204)=0,"",AVERAGE(H1204,J1204))</x:f>
      </x:c>
      <x:c r="M1204" s="16" t="str">
        <x:f>IF(OR(K1204="",L1204=""),"",L1204-K1204)</x:f>
      </x:c>
      <x:c r="N1204" s="16" t="str">
        <x:f>IF(AND(A1204=A1203,ISNUMBER(K1204),ISNUMBER(K1203)),K1204-K1203,"")</x:f>
      </x:c>
      <x:c r="O1204" s="13" t="str">
        <x:v>Sem informação</x:v>
      </x:c>
      <x:c r="P1204" s="26"/>
      <x:c r="Q1204" s="13" t="str"/>
      <x:c r="R1204" s="13" t="str"/>
      <x:c r="S1204" s="13" t="str"/>
      <x:c r="T1204" s="13" t="str"/>
    </x:row>
    <x:row r="1205">
      <x:c r="A1205" s="13" t="str">
        <x:v>Éderson</x:v>
      </x:c>
      <x:c r="B1205" s="13" t="n">
        <x:v>2026</x:v>
      </x:c>
      <x:c r="C1205" s="13" t="str">
        <x:v>T4</x:v>
      </x:c>
      <x:c r="D1205" s="24" t="n">
        <x:v>46387</x:v>
      </x:c>
      <x:c r="E1205" s="13" t="str">
        <x:v>Mezzala direito</x:v>
      </x:c>
      <x:c r="F1205" s="13" t="str">
        <x:v>Manchester United FC</x:v>
      </x:c>
      <x:c r="G1205" s="16"/>
      <x:c r="H1205" s="16"/>
      <x:c r="I1205" s="16"/>
      <x:c r="J1205" s="16"/>
      <x:c r="K1205" s="16" t="str">
        <x:f>IF(COUNT(G1205,I1205)=0,"",AVERAGE(G1205,I1205))</x:f>
      </x:c>
      <x:c r="L1205" s="16" t="str">
        <x:f>IF(COUNT(H1205,J1205)=0,"",AVERAGE(H1205,J1205))</x:f>
      </x:c>
      <x:c r="M1205" s="16" t="str">
        <x:f>IF(OR(K1205="",L1205=""),"",L1205-K1205)</x:f>
      </x:c>
      <x:c r="N1205" s="16" t="str">
        <x:f>IF(AND(A1205=A1204,ISNUMBER(K1205),ISNUMBER(K1204)),K1205-K1204,"")</x:f>
      </x:c>
      <x:c r="O1205" s="13" t="str">
        <x:v>Sem informação</x:v>
      </x:c>
      <x:c r="P1205" s="26"/>
      <x:c r="Q1205" s="13" t="str"/>
      <x:c r="R1205" s="13" t="str"/>
      <x:c r="S1205" s="13" t="str"/>
      <x:c r="T1205" s="13" t="str"/>
    </x:row>
    <x:row r="1206">
      <x:c r="A1206" s="13" t="str">
        <x:v>Éderson</x:v>
      </x:c>
      <x:c r="B1206" s="13" t="n">
        <x:v>2027</x:v>
      </x:c>
      <x:c r="C1206" s="13" t="str">
        <x:v>T1</x:v>
      </x:c>
      <x:c r="D1206" s="24" t="n">
        <x:v>46477</x:v>
      </x:c>
      <x:c r="E1206" s="13" t="str">
        <x:v>Mezzala direito</x:v>
      </x:c>
      <x:c r="F1206" s="13" t="str">
        <x:v>Manchester United FC</x:v>
      </x:c>
      <x:c r="G1206" s="16"/>
      <x:c r="H1206" s="16"/>
      <x:c r="I1206" s="16"/>
      <x:c r="J1206" s="16"/>
      <x:c r="K1206" s="16" t="str">
        <x:f>IF(COUNT(G1206,I1206)=0,"",AVERAGE(G1206,I1206))</x:f>
      </x:c>
      <x:c r="L1206" s="16" t="str">
        <x:f>IF(COUNT(H1206,J1206)=0,"",AVERAGE(H1206,J1206))</x:f>
      </x:c>
      <x:c r="M1206" s="16" t="str">
        <x:f>IF(OR(K1206="",L1206=""),"",L1206-K1206)</x:f>
      </x:c>
      <x:c r="N1206" s="16" t="str">
        <x:f>IF(AND(A1206=A1205,ISNUMBER(K1206),ISNUMBER(K1205)),K1206-K1205,"")</x:f>
      </x:c>
      <x:c r="O1206" s="13" t="str">
        <x:v>Sem informação</x:v>
      </x:c>
      <x:c r="P1206" s="26"/>
      <x:c r="Q1206" s="13" t="str"/>
      <x:c r="R1206" s="13" t="str"/>
      <x:c r="S1206" s="13" t="str"/>
      <x:c r="T1206" s="13" t="str"/>
    </x:row>
    <x:row r="1207">
      <x:c r="A1207" s="13" t="str">
        <x:v>Éderson</x:v>
      </x:c>
      <x:c r="B1207" s="13" t="n">
        <x:v>2027</x:v>
      </x:c>
      <x:c r="C1207" s="13" t="str">
        <x:v>T2</x:v>
      </x:c>
      <x:c r="D1207" s="24" t="n">
        <x:v>46568</x:v>
      </x:c>
      <x:c r="E1207" s="13" t="str">
        <x:v>Mezzala direito</x:v>
      </x:c>
      <x:c r="F1207" s="13" t="str">
        <x:v>Manchester United FC</x:v>
      </x:c>
      <x:c r="G1207" s="16"/>
      <x:c r="H1207" s="16"/>
      <x:c r="I1207" s="16"/>
      <x:c r="J1207" s="16"/>
      <x:c r="K1207" s="16" t="str">
        <x:f>IF(COUNT(G1207,I1207)=0,"",AVERAGE(G1207,I1207))</x:f>
      </x:c>
      <x:c r="L1207" s="16" t="str">
        <x:f>IF(COUNT(H1207,J1207)=0,"",AVERAGE(H1207,J1207))</x:f>
      </x:c>
      <x:c r="M1207" s="16" t="str">
        <x:f>IF(OR(K1207="",L1207=""),"",L1207-K1207)</x:f>
      </x:c>
      <x:c r="N1207" s="16" t="str">
        <x:f>IF(AND(A1207=A1206,ISNUMBER(K1207),ISNUMBER(K1206)),K1207-K1206,"")</x:f>
      </x:c>
      <x:c r="O1207" s="13" t="str">
        <x:v>Sem informação</x:v>
      </x:c>
      <x:c r="P1207" s="26"/>
      <x:c r="Q1207" s="13" t="str"/>
      <x:c r="R1207" s="13" t="str"/>
      <x:c r="S1207" s="13" t="str"/>
      <x:c r="T1207" s="13" t="str"/>
    </x:row>
    <x:row r="1208">
      <x:c r="A1208" s="13" t="str">
        <x:v>Éderson</x:v>
      </x:c>
      <x:c r="B1208" s="13" t="n">
        <x:v>2027</x:v>
      </x:c>
      <x:c r="C1208" s="13" t="str">
        <x:v>T3</x:v>
      </x:c>
      <x:c r="D1208" s="24" t="n">
        <x:v>46660</x:v>
      </x:c>
      <x:c r="E1208" s="13" t="str">
        <x:v>Mezzala direito</x:v>
      </x:c>
      <x:c r="F1208" s="13" t="str">
        <x:v>Manchester United FC</x:v>
      </x:c>
      <x:c r="G1208" s="16"/>
      <x:c r="H1208" s="16"/>
      <x:c r="I1208" s="16"/>
      <x:c r="J1208" s="16"/>
      <x:c r="K1208" s="16" t="str">
        <x:f>IF(COUNT(G1208,I1208)=0,"",AVERAGE(G1208,I1208))</x:f>
      </x:c>
      <x:c r="L1208" s="16" t="str">
        <x:f>IF(COUNT(H1208,J1208)=0,"",AVERAGE(H1208,J1208))</x:f>
      </x:c>
      <x:c r="M1208" s="16" t="str">
        <x:f>IF(OR(K1208="",L1208=""),"",L1208-K1208)</x:f>
      </x:c>
      <x:c r="N1208" s="16" t="str">
        <x:f>IF(AND(A1208=A1207,ISNUMBER(K1208),ISNUMBER(K1207)),K1208-K1207,"")</x:f>
      </x:c>
      <x:c r="O1208" s="13" t="str">
        <x:v>Sem informação</x:v>
      </x:c>
      <x:c r="P1208" s="26"/>
      <x:c r="Q1208" s="13" t="str"/>
      <x:c r="R1208" s="13" t="str"/>
      <x:c r="S1208" s="13" t="str"/>
      <x:c r="T1208" s="13" t="str"/>
    </x:row>
    <x:row r="1209">
      <x:c r="A1209" s="13" t="str">
        <x:v>Éderson</x:v>
      </x:c>
      <x:c r="B1209" s="13" t="n">
        <x:v>2027</x:v>
      </x:c>
      <x:c r="C1209" s="13" t="str">
        <x:v>T4</x:v>
      </x:c>
      <x:c r="D1209" s="24" t="n">
        <x:v>46752</x:v>
      </x:c>
      <x:c r="E1209" s="13" t="str">
        <x:v>Mezzala direito</x:v>
      </x:c>
      <x:c r="F1209" s="13" t="str">
        <x:v>Manchester United FC</x:v>
      </x:c>
      <x:c r="G1209" s="16"/>
      <x:c r="H1209" s="16"/>
      <x:c r="I1209" s="16"/>
      <x:c r="J1209" s="16"/>
      <x:c r="K1209" s="16" t="str">
        <x:f>IF(COUNT(G1209,I1209)=0,"",AVERAGE(G1209,I1209))</x:f>
      </x:c>
      <x:c r="L1209" s="16" t="str">
        <x:f>IF(COUNT(H1209,J1209)=0,"",AVERAGE(H1209,J1209))</x:f>
      </x:c>
      <x:c r="M1209" s="16" t="str">
        <x:f>IF(OR(K1209="",L1209=""),"",L1209-K1209)</x:f>
      </x:c>
      <x:c r="N1209" s="16" t="str">
        <x:f>IF(AND(A1209=A1208,ISNUMBER(K1209),ISNUMBER(K1208)),K1209-K1208,"")</x:f>
      </x:c>
      <x:c r="O1209" s="13" t="str">
        <x:v>Sem informação</x:v>
      </x:c>
      <x:c r="P1209" s="26"/>
      <x:c r="Q1209" s="13" t="str"/>
      <x:c r="R1209" s="13" t="str"/>
      <x:c r="S1209" s="13" t="str"/>
      <x:c r="T1209" s="13" t="str"/>
    </x:row>
    <x:row r="1210">
      <x:c r="A1210" s="13" t="str">
        <x:v>Éderson</x:v>
      </x:c>
      <x:c r="B1210" s="13" t="n">
        <x:v>2028</x:v>
      </x:c>
      <x:c r="C1210" s="13" t="str">
        <x:v>T1</x:v>
      </x:c>
      <x:c r="D1210" s="24" t="n">
        <x:v>46843</x:v>
      </x:c>
      <x:c r="E1210" s="13" t="str">
        <x:v>Mezzala direito</x:v>
      </x:c>
      <x:c r="F1210" s="13" t="str">
        <x:v>Manchester United FC</x:v>
      </x:c>
      <x:c r="G1210" s="16"/>
      <x:c r="H1210" s="16"/>
      <x:c r="I1210" s="16"/>
      <x:c r="J1210" s="16"/>
      <x:c r="K1210" s="16" t="str">
        <x:f>IF(COUNT(G1210,I1210)=0,"",AVERAGE(G1210,I1210))</x:f>
      </x:c>
      <x:c r="L1210" s="16" t="str">
        <x:f>IF(COUNT(H1210,J1210)=0,"",AVERAGE(H1210,J1210))</x:f>
      </x:c>
      <x:c r="M1210" s="16" t="str">
        <x:f>IF(OR(K1210="",L1210=""),"",L1210-K1210)</x:f>
      </x:c>
      <x:c r="N1210" s="16" t="str">
        <x:f>IF(AND(A1210=A1209,ISNUMBER(K1210),ISNUMBER(K1209)),K1210-K1209,"")</x:f>
      </x:c>
      <x:c r="O1210" s="13" t="str">
        <x:v>Sem informação</x:v>
      </x:c>
      <x:c r="P1210" s="26"/>
      <x:c r="Q1210" s="13" t="str"/>
      <x:c r="R1210" s="13" t="str"/>
      <x:c r="S1210" s="13" t="str"/>
      <x:c r="T1210" s="13" t="str"/>
    </x:row>
    <x:row r="1211">
      <x:c r="A1211" s="13" t="str">
        <x:v>Éderson</x:v>
      </x:c>
      <x:c r="B1211" s="13" t="n">
        <x:v>2028</x:v>
      </x:c>
      <x:c r="C1211" s="13" t="str">
        <x:v>T2</x:v>
      </x:c>
      <x:c r="D1211" s="24" t="n">
        <x:v>46934</x:v>
      </x:c>
      <x:c r="E1211" s="13" t="str">
        <x:v>Mezzala direito</x:v>
      </x:c>
      <x:c r="F1211" s="13" t="str">
        <x:v>Manchester United FC</x:v>
      </x:c>
      <x:c r="G1211" s="16"/>
      <x:c r="H1211" s="16"/>
      <x:c r="I1211" s="16"/>
      <x:c r="J1211" s="16"/>
      <x:c r="K1211" s="16" t="str">
        <x:f>IF(COUNT(G1211,I1211)=0,"",AVERAGE(G1211,I1211))</x:f>
      </x:c>
      <x:c r="L1211" s="16" t="str">
        <x:f>IF(COUNT(H1211,J1211)=0,"",AVERAGE(H1211,J1211))</x:f>
      </x:c>
      <x:c r="M1211" s="16" t="str">
        <x:f>IF(OR(K1211="",L1211=""),"",L1211-K1211)</x:f>
      </x:c>
      <x:c r="N1211" s="16" t="str">
        <x:f>IF(AND(A1211=A1210,ISNUMBER(K1211),ISNUMBER(K1210)),K1211-K1210,"")</x:f>
      </x:c>
      <x:c r="O1211" s="13" t="str">
        <x:v>Sem informação</x:v>
      </x:c>
      <x:c r="P1211" s="26"/>
      <x:c r="Q1211" s="13" t="str"/>
      <x:c r="R1211" s="13" t="str"/>
      <x:c r="S1211" s="13" t="str"/>
      <x:c r="T1211" s="13" t="str"/>
    </x:row>
    <x:row r="1212">
      <x:c r="A1212" s="13" t="str">
        <x:v>Éderson</x:v>
      </x:c>
      <x:c r="B1212" s="13" t="n">
        <x:v>2028</x:v>
      </x:c>
      <x:c r="C1212" s="13" t="str">
        <x:v>T3</x:v>
      </x:c>
      <x:c r="D1212" s="24" t="n">
        <x:v>47026</x:v>
      </x:c>
      <x:c r="E1212" s="13" t="str">
        <x:v>Mezzala direito</x:v>
      </x:c>
      <x:c r="F1212" s="13" t="str">
        <x:v>Manchester United FC</x:v>
      </x:c>
      <x:c r="G1212" s="16"/>
      <x:c r="H1212" s="16"/>
      <x:c r="I1212" s="16"/>
      <x:c r="J1212" s="16"/>
      <x:c r="K1212" s="16" t="str">
        <x:f>IF(COUNT(G1212,I1212)=0,"",AVERAGE(G1212,I1212))</x:f>
      </x:c>
      <x:c r="L1212" s="16" t="str">
        <x:f>IF(COUNT(H1212,J1212)=0,"",AVERAGE(H1212,J1212))</x:f>
      </x:c>
      <x:c r="M1212" s="16" t="str">
        <x:f>IF(OR(K1212="",L1212=""),"",L1212-K1212)</x:f>
      </x:c>
      <x:c r="N1212" s="16" t="str">
        <x:f>IF(AND(A1212=A1211,ISNUMBER(K1212),ISNUMBER(K1211)),K1212-K1211,"")</x:f>
      </x:c>
      <x:c r="O1212" s="13" t="str">
        <x:v>Sem informação</x:v>
      </x:c>
      <x:c r="P1212" s="26"/>
      <x:c r="Q1212" s="13" t="str"/>
      <x:c r="R1212" s="13" t="str"/>
      <x:c r="S1212" s="13" t="str"/>
      <x:c r="T1212" s="13" t="str"/>
    </x:row>
    <x:row r="1213">
      <x:c r="A1213" s="13" t="str">
        <x:v>Éderson</x:v>
      </x:c>
      <x:c r="B1213" s="13" t="n">
        <x:v>2028</x:v>
      </x:c>
      <x:c r="C1213" s="13" t="str">
        <x:v>T4</x:v>
      </x:c>
      <x:c r="D1213" s="24" t="n">
        <x:v>47118</x:v>
      </x:c>
      <x:c r="E1213" s="13" t="str">
        <x:v>Mezzala direito</x:v>
      </x:c>
      <x:c r="F1213" s="13" t="str">
        <x:v>Manchester United FC</x:v>
      </x:c>
      <x:c r="G1213" s="16"/>
      <x:c r="H1213" s="16"/>
      <x:c r="I1213" s="16"/>
      <x:c r="J1213" s="16"/>
      <x:c r="K1213" s="16" t="str">
        <x:f>IF(COUNT(G1213,I1213)=0,"",AVERAGE(G1213,I1213))</x:f>
      </x:c>
      <x:c r="L1213" s="16" t="str">
        <x:f>IF(COUNT(H1213,J1213)=0,"",AVERAGE(H1213,J1213))</x:f>
      </x:c>
      <x:c r="M1213" s="16" t="str">
        <x:f>IF(OR(K1213="",L1213=""),"",L1213-K1213)</x:f>
      </x:c>
      <x:c r="N1213" s="16" t="str">
        <x:f>IF(AND(A1213=A1212,ISNUMBER(K1213),ISNUMBER(K1212)),K1213-K1212,"")</x:f>
      </x:c>
      <x:c r="O1213" s="13" t="str">
        <x:v>Sem informação</x:v>
      </x:c>
      <x:c r="P1213" s="26"/>
      <x:c r="Q1213" s="13" t="str"/>
      <x:c r="R1213" s="13" t="str"/>
      <x:c r="S1213" s="13" t="str"/>
      <x:c r="T1213" s="13" t="str"/>
    </x:row>
    <x:row r="1214">
      <x:c r="A1214" s="13" t="str">
        <x:v>Éderson</x:v>
      </x:c>
      <x:c r="B1214" s="13" t="n">
        <x:v>2029</x:v>
      </x:c>
      <x:c r="C1214" s="13" t="str">
        <x:v>T1</x:v>
      </x:c>
      <x:c r="D1214" s="24" t="n">
        <x:v>47208</x:v>
      </x:c>
      <x:c r="E1214" s="13" t="str">
        <x:v>Mezzala direito</x:v>
      </x:c>
      <x:c r="F1214" s="13" t="str">
        <x:v>Manchester United FC</x:v>
      </x:c>
      <x:c r="G1214" s="16"/>
      <x:c r="H1214" s="16"/>
      <x:c r="I1214" s="16"/>
      <x:c r="J1214" s="16"/>
      <x:c r="K1214" s="16" t="str">
        <x:f>IF(COUNT(G1214,I1214)=0,"",AVERAGE(G1214,I1214))</x:f>
      </x:c>
      <x:c r="L1214" s="16" t="str">
        <x:f>IF(COUNT(H1214,J1214)=0,"",AVERAGE(H1214,J1214))</x:f>
      </x:c>
      <x:c r="M1214" s="16" t="str">
        <x:f>IF(OR(K1214="",L1214=""),"",L1214-K1214)</x:f>
      </x:c>
      <x:c r="N1214" s="16" t="str">
        <x:f>IF(AND(A1214=A1213,ISNUMBER(K1214),ISNUMBER(K1213)),K1214-K1213,"")</x:f>
      </x:c>
      <x:c r="O1214" s="13" t="str">
        <x:v>Sem informação</x:v>
      </x:c>
      <x:c r="P1214" s="26"/>
      <x:c r="Q1214" s="13" t="str"/>
      <x:c r="R1214" s="13" t="str"/>
      <x:c r="S1214" s="13" t="str"/>
      <x:c r="T1214" s="13" t="str"/>
    </x:row>
    <x:row r="1215">
      <x:c r="A1215" s="13" t="str">
        <x:v>Éderson</x:v>
      </x:c>
      <x:c r="B1215" s="13" t="n">
        <x:v>2029</x:v>
      </x:c>
      <x:c r="C1215" s="13" t="str">
        <x:v>T2</x:v>
      </x:c>
      <x:c r="D1215" s="24" t="n">
        <x:v>47299</x:v>
      </x:c>
      <x:c r="E1215" s="13" t="str">
        <x:v>Mezzala direito</x:v>
      </x:c>
      <x:c r="F1215" s="13" t="str">
        <x:v>Manchester United FC</x:v>
      </x:c>
      <x:c r="G1215" s="16"/>
      <x:c r="H1215" s="16"/>
      <x:c r="I1215" s="16"/>
      <x:c r="J1215" s="16"/>
      <x:c r="K1215" s="16" t="str">
        <x:f>IF(COUNT(G1215,I1215)=0,"",AVERAGE(G1215,I1215))</x:f>
      </x:c>
      <x:c r="L1215" s="16" t="str">
        <x:f>IF(COUNT(H1215,J1215)=0,"",AVERAGE(H1215,J1215))</x:f>
      </x:c>
      <x:c r="M1215" s="16" t="str">
        <x:f>IF(OR(K1215="",L1215=""),"",L1215-K1215)</x:f>
      </x:c>
      <x:c r="N1215" s="16" t="str">
        <x:f>IF(AND(A1215=A1214,ISNUMBER(K1215),ISNUMBER(K1214)),K1215-K1214,"")</x:f>
      </x:c>
      <x:c r="O1215" s="13" t="str">
        <x:v>Sem informação</x:v>
      </x:c>
      <x:c r="P1215" s="26"/>
      <x:c r="Q1215" s="13" t="str"/>
      <x:c r="R1215" s="13" t="str"/>
      <x:c r="S1215" s="13" t="str"/>
      <x:c r="T1215" s="13" t="str"/>
    </x:row>
    <x:row r="1216">
      <x:c r="A1216" s="13" t="str">
        <x:v>Éderson</x:v>
      </x:c>
      <x:c r="B1216" s="13" t="n">
        <x:v>2029</x:v>
      </x:c>
      <x:c r="C1216" s="13" t="str">
        <x:v>T3</x:v>
      </x:c>
      <x:c r="D1216" s="24" t="n">
        <x:v>47391</x:v>
      </x:c>
      <x:c r="E1216" s="13" t="str">
        <x:v>Mezzala direito</x:v>
      </x:c>
      <x:c r="F1216" s="13" t="str">
        <x:v>Manchester United FC</x:v>
      </x:c>
      <x:c r="G1216" s="16"/>
      <x:c r="H1216" s="16"/>
      <x:c r="I1216" s="16"/>
      <x:c r="J1216" s="16"/>
      <x:c r="K1216" s="16" t="str">
        <x:f>IF(COUNT(G1216,I1216)=0,"",AVERAGE(G1216,I1216))</x:f>
      </x:c>
      <x:c r="L1216" s="16" t="str">
        <x:f>IF(COUNT(H1216,J1216)=0,"",AVERAGE(H1216,J1216))</x:f>
      </x:c>
      <x:c r="M1216" s="16" t="str">
        <x:f>IF(OR(K1216="",L1216=""),"",L1216-K1216)</x:f>
      </x:c>
      <x:c r="N1216" s="16" t="str">
        <x:f>IF(AND(A1216=A1215,ISNUMBER(K1216),ISNUMBER(K1215)),K1216-K1215,"")</x:f>
      </x:c>
      <x:c r="O1216" s="13" t="str">
        <x:v>Sem informação</x:v>
      </x:c>
      <x:c r="P1216" s="26"/>
      <x:c r="Q1216" s="13" t="str"/>
      <x:c r="R1216" s="13" t="str"/>
      <x:c r="S1216" s="13" t="str"/>
      <x:c r="T1216" s="13" t="str"/>
    </x:row>
    <x:row r="1217">
      <x:c r="A1217" s="13" t="str">
        <x:v>Éderson</x:v>
      </x:c>
      <x:c r="B1217" s="13" t="n">
        <x:v>2029</x:v>
      </x:c>
      <x:c r="C1217" s="13" t="str">
        <x:v>T4</x:v>
      </x:c>
      <x:c r="D1217" s="24" t="n">
        <x:v>47483</x:v>
      </x:c>
      <x:c r="E1217" s="13" t="str">
        <x:v>Mezzala direito</x:v>
      </x:c>
      <x:c r="F1217" s="13" t="str">
        <x:v>Manchester United FC</x:v>
      </x:c>
      <x:c r="G1217" s="16"/>
      <x:c r="H1217" s="16"/>
      <x:c r="I1217" s="16"/>
      <x:c r="J1217" s="16"/>
      <x:c r="K1217" s="16" t="str">
        <x:f>IF(COUNT(G1217,I1217)=0,"",AVERAGE(G1217,I1217))</x:f>
      </x:c>
      <x:c r="L1217" s="16" t="str">
        <x:f>IF(COUNT(H1217,J1217)=0,"",AVERAGE(H1217,J1217))</x:f>
      </x:c>
      <x:c r="M1217" s="16" t="str">
        <x:f>IF(OR(K1217="",L1217=""),"",L1217-K1217)</x:f>
      </x:c>
      <x:c r="N1217" s="16" t="str">
        <x:f>IF(AND(A1217=A1216,ISNUMBER(K1217),ISNUMBER(K1216)),K1217-K1216,"")</x:f>
      </x:c>
      <x:c r="O1217" s="13" t="str">
        <x:v>Sem informação</x:v>
      </x:c>
      <x:c r="P1217" s="26"/>
      <x:c r="Q1217" s="13" t="str"/>
      <x:c r="R1217" s="13" t="str"/>
      <x:c r="S1217" s="13" t="str"/>
      <x:c r="T1217" s="13" t="str"/>
    </x:row>
    <x:row r="1218">
      <x:c r="A1218" s="13" t="str">
        <x:v>Éderson</x:v>
      </x:c>
      <x:c r="B1218" s="13" t="n">
        <x:v>2030</x:v>
      </x:c>
      <x:c r="C1218" s="13" t="str">
        <x:v>T1</x:v>
      </x:c>
      <x:c r="D1218" s="24" t="n">
        <x:v>47573</x:v>
      </x:c>
      <x:c r="E1218" s="13" t="str">
        <x:v>Mezzala direito</x:v>
      </x:c>
      <x:c r="F1218" s="13" t="str">
        <x:v>Manchester United FC</x:v>
      </x:c>
      <x:c r="G1218" s="16"/>
      <x:c r="H1218" s="16"/>
      <x:c r="I1218" s="16"/>
      <x:c r="J1218" s="16"/>
      <x:c r="K1218" s="16" t="str">
        <x:f>IF(COUNT(G1218,I1218)=0,"",AVERAGE(G1218,I1218))</x:f>
      </x:c>
      <x:c r="L1218" s="16" t="str">
        <x:f>IF(COUNT(H1218,J1218)=0,"",AVERAGE(H1218,J1218))</x:f>
      </x:c>
      <x:c r="M1218" s="16" t="str">
        <x:f>IF(OR(K1218="",L1218=""),"",L1218-K1218)</x:f>
      </x:c>
      <x:c r="N1218" s="16" t="str">
        <x:f>IF(AND(A1218=A1217,ISNUMBER(K1218),ISNUMBER(K1217)),K1218-K1217,"")</x:f>
      </x:c>
      <x:c r="O1218" s="13" t="str">
        <x:v>Sem informação</x:v>
      </x:c>
      <x:c r="P1218" s="26"/>
      <x:c r="Q1218" s="13" t="str"/>
      <x:c r="R1218" s="13" t="str"/>
      <x:c r="S1218" s="13" t="str"/>
      <x:c r="T1218" s="13" t="str"/>
    </x:row>
    <x:row r="1219">
      <x:c r="A1219" s="13" t="str">
        <x:v>Éderson</x:v>
      </x:c>
      <x:c r="B1219" s="13" t="n">
        <x:v>2030</x:v>
      </x:c>
      <x:c r="C1219" s="13" t="str">
        <x:v>T2</x:v>
      </x:c>
      <x:c r="D1219" s="24" t="n">
        <x:v>47664</x:v>
      </x:c>
      <x:c r="E1219" s="13" t="str">
        <x:v>Mezzala direito</x:v>
      </x:c>
      <x:c r="F1219" s="13" t="str">
        <x:v>Manchester United FC</x:v>
      </x:c>
      <x:c r="G1219" s="16"/>
      <x:c r="H1219" s="16"/>
      <x:c r="I1219" s="16"/>
      <x:c r="J1219" s="16"/>
      <x:c r="K1219" s="16" t="str">
        <x:f>IF(COUNT(G1219,I1219)=0,"",AVERAGE(G1219,I1219))</x:f>
      </x:c>
      <x:c r="L1219" s="16" t="str">
        <x:f>IF(COUNT(H1219,J1219)=0,"",AVERAGE(H1219,J1219))</x:f>
      </x:c>
      <x:c r="M1219" s="16" t="str">
        <x:f>IF(OR(K1219="",L1219=""),"",L1219-K1219)</x:f>
      </x:c>
      <x:c r="N1219" s="16" t="str">
        <x:f>IF(AND(A1219=A1218,ISNUMBER(K1219),ISNUMBER(K1218)),K1219-K1218,"")</x:f>
      </x:c>
      <x:c r="O1219" s="13" t="str">
        <x:v>Sem informação</x:v>
      </x:c>
      <x:c r="P1219" s="26"/>
      <x:c r="Q1219" s="13" t="str"/>
      <x:c r="R1219" s="13" t="str"/>
      <x:c r="S1219" s="13" t="str"/>
      <x:c r="T1219" s="13" t="str"/>
    </x:row>
    <x:row r="1220">
      <x:c r="A1220" s="13" t="str">
        <x:v>Éderson</x:v>
      </x:c>
      <x:c r="B1220" s="13" t="n">
        <x:v>2030</x:v>
      </x:c>
      <x:c r="C1220" s="13" t="str">
        <x:v>T3</x:v>
      </x:c>
      <x:c r="D1220" s="24" t="n">
        <x:v>47756</x:v>
      </x:c>
      <x:c r="E1220" s="13" t="str">
        <x:v>Mezzala direito</x:v>
      </x:c>
      <x:c r="F1220" s="13" t="str">
        <x:v>Manchester United FC</x:v>
      </x:c>
      <x:c r="G1220" s="16"/>
      <x:c r="H1220" s="16"/>
      <x:c r="I1220" s="16"/>
      <x:c r="J1220" s="16"/>
      <x:c r="K1220" s="16" t="str">
        <x:f>IF(COUNT(G1220,I1220)=0,"",AVERAGE(G1220,I1220))</x:f>
      </x:c>
      <x:c r="L1220" s="16" t="str">
        <x:f>IF(COUNT(H1220,J1220)=0,"",AVERAGE(H1220,J1220))</x:f>
      </x:c>
      <x:c r="M1220" s="16" t="str">
        <x:f>IF(OR(K1220="",L1220=""),"",L1220-K1220)</x:f>
      </x:c>
      <x:c r="N1220" s="16" t="str">
        <x:f>IF(AND(A1220=A1219,ISNUMBER(K1220),ISNUMBER(K1219)),K1220-K1219,"")</x:f>
      </x:c>
      <x:c r="O1220" s="13" t="str">
        <x:v>Sem informação</x:v>
      </x:c>
      <x:c r="P1220" s="26"/>
      <x:c r="Q1220" s="13" t="str"/>
      <x:c r="R1220" s="13" t="str"/>
      <x:c r="S1220" s="13" t="str"/>
      <x:c r="T1220" s="13" t="str"/>
    </x:row>
    <x:row r="1221">
      <x:c r="A1221" s="13" t="str">
        <x:v>Éderson</x:v>
      </x:c>
      <x:c r="B1221" s="13" t="n">
        <x:v>2030</x:v>
      </x:c>
      <x:c r="C1221" s="13" t="str">
        <x:v>T4</x:v>
      </x:c>
      <x:c r="D1221" s="24" t="n">
        <x:v>47848</x:v>
      </x:c>
      <x:c r="E1221" s="13" t="str">
        <x:v>Mezzala direito</x:v>
      </x:c>
      <x:c r="F1221" s="13" t="str">
        <x:v>Manchester United FC</x:v>
      </x:c>
      <x:c r="G1221" s="16"/>
      <x:c r="H1221" s="16"/>
      <x:c r="I1221" s="16"/>
      <x:c r="J1221" s="16"/>
      <x:c r="K1221" s="16" t="str">
        <x:f>IF(COUNT(G1221,I1221)=0,"",AVERAGE(G1221,I1221))</x:f>
      </x:c>
      <x:c r="L1221" s="16" t="str">
        <x:f>IF(COUNT(H1221,J1221)=0,"",AVERAGE(H1221,J1221))</x:f>
      </x:c>
      <x:c r="M1221" s="16" t="str">
        <x:f>IF(OR(K1221="",L1221=""),"",L1221-K1221)</x:f>
      </x:c>
      <x:c r="N1221" s="16" t="str">
        <x:f>IF(AND(A1221=A1220,ISNUMBER(K1221),ISNUMBER(K1220)),K1221-K1220,"")</x:f>
      </x:c>
      <x:c r="O1221" s="13" t="str">
        <x:v>Sem informação</x:v>
      </x:c>
      <x:c r="P1221" s="26"/>
      <x:c r="Q1221" s="13" t="str"/>
      <x:c r="R1221" s="13" t="str"/>
      <x:c r="S1221" s="13" t="str"/>
      <x:c r="T1221" s="13" t="str"/>
    </x:row>
  </x:sheetData>
  <x:conditionalFormatting sqref="G2:G721">
    <x:cfRule type="colorScale" priority="10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H2:H721">
    <x:cfRule type="colorScale" priority="1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I2:I721">
    <x:cfRule type="colorScale" priority="1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J2:J721">
    <x:cfRule type="colorScale" priority="1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K2:K721">
    <x:cfRule type="colorScale" priority="1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L2:L721">
    <x:cfRule type="colorScale" priority="15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M2:M721">
    <x:cfRule type="dataBar" priority="16">
      <x:dataBar>
        <x:cfvo type="min"/>
        <x:cfvo type="max"/>
        <x:color rgb="FF3B82F6"/>
      </x:dataBar>
      <x:extLst>
        <x:ext xmlns:x14="http://schemas.microsoft.com/office/spreadsheetml/2009/9/main" uri="{B025F937-C7B1-47D3-B67F-A62EFF666E3E}">
          <x14:id>{6AD5C965-ADC2-C99F-9922-B175DA6CE76F}</x14:id>
        </x:ext>
      </x:extLst>
    </x:cfRule>
  </x:conditionalFormatting>
  <x:conditionalFormatting sqref="N2:N721">
    <x:cfRule type="cellIs" dxfId="2" priority="17" operator="lessThan">
      <x:formula>0</x:formula>
    </x:cfRule>
    <x:cfRule type="cellIs" dxfId="3" priority="18" operator="greaterThan">
      <x:formula>0</x:formula>
    </x:cfRule>
  </x:conditionalFormatting>
  <x:conditionalFormatting sqref="G722:G1221">
    <x:cfRule type="colorScale" priority="19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H722:H1221">
    <x:cfRule type="colorScale" priority="20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I722:I1221">
    <x:cfRule type="colorScale" priority="2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J722:J1221">
    <x:cfRule type="colorScale" priority="2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K722:K1221">
    <x:cfRule type="colorScale" priority="2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L722:L1221">
    <x:cfRule type="colorScale" priority="2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M722:M1221">
    <x:cfRule type="dataBar" priority="25">
      <x:dataBar>
        <x:cfvo type="min"/>
        <x:cfvo type="max"/>
        <x:color rgb="FF3B82F6"/>
      </x:dataBar>
      <x:extLst>
        <x:ext xmlns:x14="http://schemas.microsoft.com/office/spreadsheetml/2009/9/main" uri="{B025F937-C7B1-47D3-B67F-A62EFF666E3E}">
          <x14:id>{D299FAC6-5975-8BCA-181C-B7FDD89401A5}</x14:id>
        </x:ext>
      </x:extLst>
    </x:cfRule>
  </x:conditionalFormatting>
  <x:conditionalFormatting sqref="N722:N1221">
    <x:cfRule type="cellIs" dxfId="4" priority="26" operator="lessThan">
      <x:formula>0</x:formula>
    </x:cfRule>
    <x:cfRule type="cellIs" dxfId="5" priority="27" operator="greaterThan">
      <x:formula>0</x:formula>
    </x:cfRule>
  </x:conditionalFormatting>
  <x:dataValidations count="10">
    <x:dataValidation type="list" sqref="G2:G721">
      <x:formula1>Listas!$C$2:$C$22</x:formula1>
    </x:dataValidation>
    <x:dataValidation type="list" sqref="H2:H721">
      <x:formula1>Listas!$C$2:$C$22</x:formula1>
    </x:dataValidation>
    <x:dataValidation type="list" sqref="I2:I721">
      <x:formula1>Listas!$C$2:$C$22</x:formula1>
    </x:dataValidation>
    <x:dataValidation type="list" sqref="J2:J721">
      <x:formula1>Listas!$C$2:$C$22</x:formula1>
    </x:dataValidation>
    <x:dataValidation type="list" sqref="O2:O721">
      <x:formula1>Listas!$D$2:$D$6</x:formula1>
    </x:dataValidation>
    <x:dataValidation type="list" sqref="G722:G1221">
      <x:formula1>Listas!$C$2:$C$22</x:formula1>
    </x:dataValidation>
    <x:dataValidation type="list" sqref="H722:H1221">
      <x:formula1>Listas!$C$2:$C$22</x:formula1>
    </x:dataValidation>
    <x:dataValidation type="list" sqref="I722:I1221">
      <x:formula1>Listas!$C$2:$C$22</x:formula1>
    </x:dataValidation>
    <x:dataValidation type="list" sqref="J722:J1221">
      <x:formula1>Listas!$C$2:$C$22</x:formula1>
    </x:dataValidation>
    <x:dataValidation type="list" sqref="O722:O1221">
      <x:formula1>Listas!$D$2:$D$6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917a76673b425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6" id="{6AD5C965-ADC2-C99F-9922-B175DA6CE76F}">
            <x14:dataBar gradient="1">
              <x14:cfvo type="min"/>
              <x14:cfvo type="max"/>
              <x14:fillColor rgb="FF3B82F6"/>
            </x14:dataBar>
          </x14:cfRule>
          <xm:sqref>M2:M721</xm:sqref>
        </x14:conditionalFormatting>
        <x14:conditionalFormatting>
          <x14:cfRule type="dataBar" priority="25" id="{D299FAC6-5975-8BCA-181C-B7FDD89401A5}">
            <x14:dataBar gradient="1">
              <x14:cfvo type="min"/>
              <x14:cfvo type="max"/>
              <x14:fillColor rgb="FF3B82F6"/>
            </x14:dataBar>
          </x14:cfRule>
          <xm:sqref>M722:M1221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40" customHeight="1">
      <x:c r="A1" s="66" t="str">
        <x:v>Ano</x:v>
      </x:c>
      <x:c r="B1" s="66" t="str">
        <x:v>Trimestre</x:v>
      </x:c>
      <x:c r="C1" s="66" t="str">
        <x:v>Média da capacidade atual</x:v>
      </x:c>
      <x:c r="D1" s="66" t="str">
        <x:v>Média do potencial</x:v>
      </x:c>
      <x:c r="E1" s="66" t="str">
        <x:v>Margem média de evolução</x:v>
      </x:c>
      <x:c r="F1" s="66" t="str">
        <x:v>Avaliações preenchidas</x:v>
      </x:c>
      <x:c r="G1" s="66" t="str">
        <x:v>Atletas avaliados</x:v>
      </x:c>
      <x:c r="H1" s="66" t="str">
        <x:v>% de cobertura</x:v>
      </x:c>
    </x:row>
    <x:row r="2">
      <x:c r="A2" t="n">
        <x:v>2026</x:v>
      </x:c>
      <x:c r="B2" t="str">
        <x:v>T1</x:v>
      </x:c>
      <x:c r="C2" s="28" t="str">
        <x:f>IF((COUNTIFS('Avaliações Trimestrais'!$B$2:$B$1221,A2,'Avaliações Trimestrais'!$C$2:$C$1221,B2,'Avaliações Trimestrais'!$G$2:$G$1221,"&lt;&gt;")+COUNTIFS('Avaliações Trimestrais'!$B$2:$B$1221,A2,'Avaliações Trimestrais'!$C$2:$C$1221,B2,'Avaliações Trimestrais'!$I$2:$I$1221,"&lt;&gt;"))=0,"",(SUMIFS('Avaliações Trimestrais'!$G$2:$G$1221,'Avaliações Trimestrais'!$B$2:$B$1221,A2,'Avaliações Trimestrais'!$C$2:$C$1221,B2)+SUMIFS('Avaliações Trimestrais'!$I$2:$I$1221,'Avaliações Trimestrais'!$B$2:$B$1221,A2,'Avaliações Trimestrais'!$C$2:$C$1221,B2))/(COUNTIFS('Avaliações Trimestrais'!$B$2:$B$1221,A2,'Avaliações Trimestrais'!$C$2:$C$1221,B2,'Avaliações Trimestrais'!$G$2:$G$1221,"&lt;&gt;")+COUNTIFS('Avaliações Trimestrais'!$B$2:$B$1221,A2,'Avaliações Trimestrais'!$C$2:$C$1221,B2,'Avaliações Trimestrais'!$I$2:$I$1221,"&lt;&gt;")))</x:f>
      </x:c>
      <x:c r="D2" s="28" t="str">
        <x:f>IF((COUNTIFS('Avaliações Trimestrais'!$B$2:$B$1221,A2,'Avaliações Trimestrais'!$C$2:$C$1221,B2,'Avaliações Trimestrais'!$H$2:$H$1221,"&lt;&gt;")+COUNTIFS('Avaliações Trimestrais'!$B$2:$B$1221,A2,'Avaliações Trimestrais'!$C$2:$C$1221,B2,'Avaliações Trimestrais'!$J$2:$J$1221,"&lt;&gt;"))=0,"",(SUMIFS('Avaliações Trimestrais'!$H$2:$H$1221,'Avaliações Trimestrais'!$B$2:$B$1221,A2,'Avaliações Trimestrais'!$C$2:$C$1221,B2)+SUMIFS('Avaliações Trimestrais'!$J$2:$J$1221,'Avaliações Trimestrais'!$B$2:$B$1221,A2,'Avaliações Trimestrais'!$C$2:$C$1221,B2))/(COUNTIFS('Avaliações Trimestrais'!$B$2:$B$1221,A2,'Avaliações Trimestrais'!$C$2:$C$1221,B2,'Avaliações Trimestrais'!$H$2:$H$1221,"&lt;&gt;")+COUNTIFS('Avaliações Trimestrais'!$B$2:$B$1221,A2,'Avaliações Trimestrais'!$C$2:$C$1221,B2,'Avaliações Trimestrais'!$J$2:$J$1221,"&lt;&gt;")))</x:f>
      </x:c>
      <x:c r="E2" s="28" t="str">
        <x:f>IF(OR(C2="",D2=""),"",D2-C2)</x:f>
      </x:c>
      <x:c r="F2" t="n">
        <x:f>COUNTIFS('Avaliações Trimestrais'!$B$2:$B$1221,A2,'Avaliações Trimestrais'!$C$2:$C$1221,B2,'Avaliações Trimestrais'!$G$2:$G$1221,"&lt;&gt;")+COUNTIFS('Avaliações Trimestrais'!$B$2:$B$1221,A2,'Avaliações Trimestrais'!$C$2:$C$1221,B2,'Avaliações Trimestrais'!$H$2:$H$1221,"&lt;&gt;")+COUNTIFS('Avaliações Trimestrais'!$B$2:$B$1221,A2,'Avaliações Trimestrais'!$C$2:$C$1221,B2,'Avaliações Trimestrais'!$I$2:$I$1221,"&lt;&gt;")+COUNTIFS('Avaliações Trimestrais'!$B$2:$B$1221,A2,'Avaliações Trimestrais'!$C$2:$C$1221,B2,'Avaliações Trimestrais'!$J$2:$J$1221,"&lt;&gt;")</x:f>
        <x:v>0</x:v>
      </x:c>
      <x:c r="G2" t="n">
        <x:f>COUNTIFS('Avaliações Trimestrais'!$B$2:$B$1221,A2,'Avaliações Trimestrais'!$C$2:$C$1221,B2,'Avaliações Trimestrais'!$G$2:$G$1221,"&lt;&gt;",'Avaliações Trimestrais'!$H$2:$H$1221,"&lt;&gt;",'Avaliações Trimestrais'!$I$2:$I$1221,"&lt;&gt;",'Avaliações Trimestrais'!$J$2:$J$1221,"&lt;&gt;")</x:f>
        <x:v>0</x:v>
      </x:c>
      <x:c r="H2" s="30" t="n">
        <x:f>G2/61</x:f>
        <x:v>0</x:v>
      </x:c>
    </x:row>
    <x:row r="3">
      <x:c r="A3" t="n">
        <x:v>2026</x:v>
      </x:c>
      <x:c r="B3" t="str">
        <x:v>T2</x:v>
      </x:c>
      <x:c r="C3" s="28" t="str">
        <x:f>IF((COUNTIFS('Avaliações Trimestrais'!$B$2:$B$1221,A3,'Avaliações Trimestrais'!$C$2:$C$1221,B3,'Avaliações Trimestrais'!$G$2:$G$1221,"&lt;&gt;")+COUNTIFS('Avaliações Trimestrais'!$B$2:$B$1221,A3,'Avaliações Trimestrais'!$C$2:$C$1221,B3,'Avaliações Trimestrais'!$I$2:$I$1221,"&lt;&gt;"))=0,"",(SUMIFS('Avaliações Trimestrais'!$G$2:$G$1221,'Avaliações Trimestrais'!$B$2:$B$1221,A3,'Avaliações Trimestrais'!$C$2:$C$1221,B3)+SUMIFS('Avaliações Trimestrais'!$I$2:$I$1221,'Avaliações Trimestrais'!$B$2:$B$1221,A3,'Avaliações Trimestrais'!$C$2:$C$1221,B3))/(COUNTIFS('Avaliações Trimestrais'!$B$2:$B$1221,A3,'Avaliações Trimestrais'!$C$2:$C$1221,B3,'Avaliações Trimestrais'!$G$2:$G$1221,"&lt;&gt;")+COUNTIFS('Avaliações Trimestrais'!$B$2:$B$1221,A3,'Avaliações Trimestrais'!$C$2:$C$1221,B3,'Avaliações Trimestrais'!$I$2:$I$1221,"&lt;&gt;")))</x:f>
      </x:c>
      <x:c r="D3" s="28" t="str">
        <x:f>IF((COUNTIFS('Avaliações Trimestrais'!$B$2:$B$1221,A3,'Avaliações Trimestrais'!$C$2:$C$1221,B3,'Avaliações Trimestrais'!$H$2:$H$1221,"&lt;&gt;")+COUNTIFS('Avaliações Trimestrais'!$B$2:$B$1221,A3,'Avaliações Trimestrais'!$C$2:$C$1221,B3,'Avaliações Trimestrais'!$J$2:$J$1221,"&lt;&gt;"))=0,"",(SUMIFS('Avaliações Trimestrais'!$H$2:$H$1221,'Avaliações Trimestrais'!$B$2:$B$1221,A3,'Avaliações Trimestrais'!$C$2:$C$1221,B3)+SUMIFS('Avaliações Trimestrais'!$J$2:$J$1221,'Avaliações Trimestrais'!$B$2:$B$1221,A3,'Avaliações Trimestrais'!$C$2:$C$1221,B3))/(COUNTIFS('Avaliações Trimestrais'!$B$2:$B$1221,A3,'Avaliações Trimestrais'!$C$2:$C$1221,B3,'Avaliações Trimestrais'!$H$2:$H$1221,"&lt;&gt;")+COUNTIFS('Avaliações Trimestrais'!$B$2:$B$1221,A3,'Avaliações Trimestrais'!$C$2:$C$1221,B3,'Avaliações Trimestrais'!$J$2:$J$1221,"&lt;&gt;")))</x:f>
      </x:c>
      <x:c r="E3" s="28" t="str">
        <x:f>IF(OR(C3="",D3=""),"",D3-C3)</x:f>
      </x:c>
      <x:c r="F3" t="n">
        <x:f>COUNTIFS('Avaliações Trimestrais'!$B$2:$B$1221,A3,'Avaliações Trimestrais'!$C$2:$C$1221,B3,'Avaliações Trimestrais'!$G$2:$G$1221,"&lt;&gt;")+COUNTIFS('Avaliações Trimestrais'!$B$2:$B$1221,A3,'Avaliações Trimestrais'!$C$2:$C$1221,B3,'Avaliações Trimestrais'!$H$2:$H$1221,"&lt;&gt;")+COUNTIFS('Avaliações Trimestrais'!$B$2:$B$1221,A3,'Avaliações Trimestrais'!$C$2:$C$1221,B3,'Avaliações Trimestrais'!$I$2:$I$1221,"&lt;&gt;")+COUNTIFS('Avaliações Trimestrais'!$B$2:$B$1221,A3,'Avaliações Trimestrais'!$C$2:$C$1221,B3,'Avaliações Trimestrais'!$J$2:$J$1221,"&lt;&gt;")</x:f>
        <x:v>0</x:v>
      </x:c>
      <x:c r="G3" t="n">
        <x:f>COUNTIFS('Avaliações Trimestrais'!$B$2:$B$1221,A3,'Avaliações Trimestrais'!$C$2:$C$1221,B3,'Avaliações Trimestrais'!$G$2:$G$1221,"&lt;&gt;",'Avaliações Trimestrais'!$H$2:$H$1221,"&lt;&gt;",'Avaliações Trimestrais'!$I$2:$I$1221,"&lt;&gt;",'Avaliações Trimestrais'!$J$2:$J$1221,"&lt;&gt;")</x:f>
        <x:v>0</x:v>
      </x:c>
      <x:c r="H3" s="30" t="n">
        <x:f>G3/61</x:f>
        <x:v>0</x:v>
      </x:c>
    </x:row>
    <x:row r="4">
      <x:c r="A4" t="n">
        <x:v>2026</x:v>
      </x:c>
      <x:c r="B4" t="str">
        <x:v>T3</x:v>
      </x:c>
      <x:c r="C4" s="28" t="str">
        <x:f>IF((COUNTIFS('Avaliações Trimestrais'!$B$2:$B$1221,A4,'Avaliações Trimestrais'!$C$2:$C$1221,B4,'Avaliações Trimestrais'!$G$2:$G$1221,"&lt;&gt;")+COUNTIFS('Avaliações Trimestrais'!$B$2:$B$1221,A4,'Avaliações Trimestrais'!$C$2:$C$1221,B4,'Avaliações Trimestrais'!$I$2:$I$1221,"&lt;&gt;"))=0,"",(SUMIFS('Avaliações Trimestrais'!$G$2:$G$1221,'Avaliações Trimestrais'!$B$2:$B$1221,A4,'Avaliações Trimestrais'!$C$2:$C$1221,B4)+SUMIFS('Avaliações Trimestrais'!$I$2:$I$1221,'Avaliações Trimestrais'!$B$2:$B$1221,A4,'Avaliações Trimestrais'!$C$2:$C$1221,B4))/(COUNTIFS('Avaliações Trimestrais'!$B$2:$B$1221,A4,'Avaliações Trimestrais'!$C$2:$C$1221,B4,'Avaliações Trimestrais'!$G$2:$G$1221,"&lt;&gt;")+COUNTIFS('Avaliações Trimestrais'!$B$2:$B$1221,A4,'Avaliações Trimestrais'!$C$2:$C$1221,B4,'Avaliações Trimestrais'!$I$2:$I$1221,"&lt;&gt;")))</x:f>
      </x:c>
      <x:c r="D4" s="28" t="str">
        <x:f>IF((COUNTIFS('Avaliações Trimestrais'!$B$2:$B$1221,A4,'Avaliações Trimestrais'!$C$2:$C$1221,B4,'Avaliações Trimestrais'!$H$2:$H$1221,"&lt;&gt;")+COUNTIFS('Avaliações Trimestrais'!$B$2:$B$1221,A4,'Avaliações Trimestrais'!$C$2:$C$1221,B4,'Avaliações Trimestrais'!$J$2:$J$1221,"&lt;&gt;"))=0,"",(SUMIFS('Avaliações Trimestrais'!$H$2:$H$1221,'Avaliações Trimestrais'!$B$2:$B$1221,A4,'Avaliações Trimestrais'!$C$2:$C$1221,B4)+SUMIFS('Avaliações Trimestrais'!$J$2:$J$1221,'Avaliações Trimestrais'!$B$2:$B$1221,A4,'Avaliações Trimestrais'!$C$2:$C$1221,B4))/(COUNTIFS('Avaliações Trimestrais'!$B$2:$B$1221,A4,'Avaliações Trimestrais'!$C$2:$C$1221,B4,'Avaliações Trimestrais'!$H$2:$H$1221,"&lt;&gt;")+COUNTIFS('Avaliações Trimestrais'!$B$2:$B$1221,A4,'Avaliações Trimestrais'!$C$2:$C$1221,B4,'Avaliações Trimestrais'!$J$2:$J$1221,"&lt;&gt;")))</x:f>
      </x:c>
      <x:c r="E4" s="28" t="str">
        <x:f>IF(OR(C4="",D4=""),"",D4-C4)</x:f>
      </x:c>
      <x:c r="F4" t="n">
        <x:f>COUNTIFS('Avaliações Trimestrais'!$B$2:$B$1221,A4,'Avaliações Trimestrais'!$C$2:$C$1221,B4,'Avaliações Trimestrais'!$G$2:$G$1221,"&lt;&gt;")+COUNTIFS('Avaliações Trimestrais'!$B$2:$B$1221,A4,'Avaliações Trimestrais'!$C$2:$C$1221,B4,'Avaliações Trimestrais'!$H$2:$H$1221,"&lt;&gt;")+COUNTIFS('Avaliações Trimestrais'!$B$2:$B$1221,A4,'Avaliações Trimestrais'!$C$2:$C$1221,B4,'Avaliações Trimestrais'!$I$2:$I$1221,"&lt;&gt;")+COUNTIFS('Avaliações Trimestrais'!$B$2:$B$1221,A4,'Avaliações Trimestrais'!$C$2:$C$1221,B4,'Avaliações Trimestrais'!$J$2:$J$1221,"&lt;&gt;")</x:f>
        <x:v>0</x:v>
      </x:c>
      <x:c r="G4" t="n">
        <x:f>COUNTIFS('Avaliações Trimestrais'!$B$2:$B$1221,A4,'Avaliações Trimestrais'!$C$2:$C$1221,B4,'Avaliações Trimestrais'!$G$2:$G$1221,"&lt;&gt;",'Avaliações Trimestrais'!$H$2:$H$1221,"&lt;&gt;",'Avaliações Trimestrais'!$I$2:$I$1221,"&lt;&gt;",'Avaliações Trimestrais'!$J$2:$J$1221,"&lt;&gt;")</x:f>
        <x:v>0</x:v>
      </x:c>
      <x:c r="H4" s="30" t="n">
        <x:f>G4/61</x:f>
        <x:v>0</x:v>
      </x:c>
    </x:row>
    <x:row r="5">
      <x:c r="A5" t="n">
        <x:v>2026</x:v>
      </x:c>
      <x:c r="B5" t="str">
        <x:v>T4</x:v>
      </x:c>
      <x:c r="C5" s="28" t="str">
        <x:f>IF((COUNTIFS('Avaliações Trimestrais'!$B$2:$B$1221,A5,'Avaliações Trimestrais'!$C$2:$C$1221,B5,'Avaliações Trimestrais'!$G$2:$G$1221,"&lt;&gt;")+COUNTIFS('Avaliações Trimestrais'!$B$2:$B$1221,A5,'Avaliações Trimestrais'!$C$2:$C$1221,B5,'Avaliações Trimestrais'!$I$2:$I$1221,"&lt;&gt;"))=0,"",(SUMIFS('Avaliações Trimestrais'!$G$2:$G$1221,'Avaliações Trimestrais'!$B$2:$B$1221,A5,'Avaliações Trimestrais'!$C$2:$C$1221,B5)+SUMIFS('Avaliações Trimestrais'!$I$2:$I$1221,'Avaliações Trimestrais'!$B$2:$B$1221,A5,'Avaliações Trimestrais'!$C$2:$C$1221,B5))/(COUNTIFS('Avaliações Trimestrais'!$B$2:$B$1221,A5,'Avaliações Trimestrais'!$C$2:$C$1221,B5,'Avaliações Trimestrais'!$G$2:$G$1221,"&lt;&gt;")+COUNTIFS('Avaliações Trimestrais'!$B$2:$B$1221,A5,'Avaliações Trimestrais'!$C$2:$C$1221,B5,'Avaliações Trimestrais'!$I$2:$I$1221,"&lt;&gt;")))</x:f>
      </x:c>
      <x:c r="D5" s="28" t="str">
        <x:f>IF((COUNTIFS('Avaliações Trimestrais'!$B$2:$B$1221,A5,'Avaliações Trimestrais'!$C$2:$C$1221,B5,'Avaliações Trimestrais'!$H$2:$H$1221,"&lt;&gt;")+COUNTIFS('Avaliações Trimestrais'!$B$2:$B$1221,A5,'Avaliações Trimestrais'!$C$2:$C$1221,B5,'Avaliações Trimestrais'!$J$2:$J$1221,"&lt;&gt;"))=0,"",(SUMIFS('Avaliações Trimestrais'!$H$2:$H$1221,'Avaliações Trimestrais'!$B$2:$B$1221,A5,'Avaliações Trimestrais'!$C$2:$C$1221,B5)+SUMIFS('Avaliações Trimestrais'!$J$2:$J$1221,'Avaliações Trimestrais'!$B$2:$B$1221,A5,'Avaliações Trimestrais'!$C$2:$C$1221,B5))/(COUNTIFS('Avaliações Trimestrais'!$B$2:$B$1221,A5,'Avaliações Trimestrais'!$C$2:$C$1221,B5,'Avaliações Trimestrais'!$H$2:$H$1221,"&lt;&gt;")+COUNTIFS('Avaliações Trimestrais'!$B$2:$B$1221,A5,'Avaliações Trimestrais'!$C$2:$C$1221,B5,'Avaliações Trimestrais'!$J$2:$J$1221,"&lt;&gt;")))</x:f>
      </x:c>
      <x:c r="E5" s="28" t="str">
        <x:f>IF(OR(C5="",D5=""),"",D5-C5)</x:f>
      </x:c>
      <x:c r="F5" t="n">
        <x:f>COUNTIFS('Avaliações Trimestrais'!$B$2:$B$1221,A5,'Avaliações Trimestrais'!$C$2:$C$1221,B5,'Avaliações Trimestrais'!$G$2:$G$1221,"&lt;&gt;")+COUNTIFS('Avaliações Trimestrais'!$B$2:$B$1221,A5,'Avaliações Trimestrais'!$C$2:$C$1221,B5,'Avaliações Trimestrais'!$H$2:$H$1221,"&lt;&gt;")+COUNTIFS('Avaliações Trimestrais'!$B$2:$B$1221,A5,'Avaliações Trimestrais'!$C$2:$C$1221,B5,'Avaliações Trimestrais'!$I$2:$I$1221,"&lt;&gt;")+COUNTIFS('Avaliações Trimestrais'!$B$2:$B$1221,A5,'Avaliações Trimestrais'!$C$2:$C$1221,B5,'Avaliações Trimestrais'!$J$2:$J$1221,"&lt;&gt;")</x:f>
        <x:v>0</x:v>
      </x:c>
      <x:c r="G5" t="n">
        <x:f>COUNTIFS('Avaliações Trimestrais'!$B$2:$B$1221,A5,'Avaliações Trimestrais'!$C$2:$C$1221,B5,'Avaliações Trimestrais'!$G$2:$G$1221,"&lt;&gt;",'Avaliações Trimestrais'!$H$2:$H$1221,"&lt;&gt;",'Avaliações Trimestrais'!$I$2:$I$1221,"&lt;&gt;",'Avaliações Trimestrais'!$J$2:$J$1221,"&lt;&gt;")</x:f>
        <x:v>0</x:v>
      </x:c>
      <x:c r="H5" s="30" t="n">
        <x:f>G5/61</x:f>
        <x:v>0</x:v>
      </x:c>
    </x:row>
    <x:row r="6">
      <x:c r="A6" t="n">
        <x:v>2027</x:v>
      </x:c>
      <x:c r="B6" t="str">
        <x:v>T1</x:v>
      </x:c>
      <x:c r="C6" s="28" t="str">
        <x:f>IF((COUNTIFS('Avaliações Trimestrais'!$B$2:$B$1221,A6,'Avaliações Trimestrais'!$C$2:$C$1221,B6,'Avaliações Trimestrais'!$G$2:$G$1221,"&lt;&gt;")+COUNTIFS('Avaliações Trimestrais'!$B$2:$B$1221,A6,'Avaliações Trimestrais'!$C$2:$C$1221,B6,'Avaliações Trimestrais'!$I$2:$I$1221,"&lt;&gt;"))=0,"",(SUMIFS('Avaliações Trimestrais'!$G$2:$G$1221,'Avaliações Trimestrais'!$B$2:$B$1221,A6,'Avaliações Trimestrais'!$C$2:$C$1221,B6)+SUMIFS('Avaliações Trimestrais'!$I$2:$I$1221,'Avaliações Trimestrais'!$B$2:$B$1221,A6,'Avaliações Trimestrais'!$C$2:$C$1221,B6))/(COUNTIFS('Avaliações Trimestrais'!$B$2:$B$1221,A6,'Avaliações Trimestrais'!$C$2:$C$1221,B6,'Avaliações Trimestrais'!$G$2:$G$1221,"&lt;&gt;")+COUNTIFS('Avaliações Trimestrais'!$B$2:$B$1221,A6,'Avaliações Trimestrais'!$C$2:$C$1221,B6,'Avaliações Trimestrais'!$I$2:$I$1221,"&lt;&gt;")))</x:f>
      </x:c>
      <x:c r="D6" s="28" t="str">
        <x:f>IF((COUNTIFS('Avaliações Trimestrais'!$B$2:$B$1221,A6,'Avaliações Trimestrais'!$C$2:$C$1221,B6,'Avaliações Trimestrais'!$H$2:$H$1221,"&lt;&gt;")+COUNTIFS('Avaliações Trimestrais'!$B$2:$B$1221,A6,'Avaliações Trimestrais'!$C$2:$C$1221,B6,'Avaliações Trimestrais'!$J$2:$J$1221,"&lt;&gt;"))=0,"",(SUMIFS('Avaliações Trimestrais'!$H$2:$H$1221,'Avaliações Trimestrais'!$B$2:$B$1221,A6,'Avaliações Trimestrais'!$C$2:$C$1221,B6)+SUMIFS('Avaliações Trimestrais'!$J$2:$J$1221,'Avaliações Trimestrais'!$B$2:$B$1221,A6,'Avaliações Trimestrais'!$C$2:$C$1221,B6))/(COUNTIFS('Avaliações Trimestrais'!$B$2:$B$1221,A6,'Avaliações Trimestrais'!$C$2:$C$1221,B6,'Avaliações Trimestrais'!$H$2:$H$1221,"&lt;&gt;")+COUNTIFS('Avaliações Trimestrais'!$B$2:$B$1221,A6,'Avaliações Trimestrais'!$C$2:$C$1221,B6,'Avaliações Trimestrais'!$J$2:$J$1221,"&lt;&gt;")))</x:f>
      </x:c>
      <x:c r="E6" s="28" t="str">
        <x:f>IF(OR(C6="",D6=""),"",D6-C6)</x:f>
      </x:c>
      <x:c r="F6" t="n">
        <x:f>COUNTIFS('Avaliações Trimestrais'!$B$2:$B$1221,A6,'Avaliações Trimestrais'!$C$2:$C$1221,B6,'Avaliações Trimestrais'!$G$2:$G$1221,"&lt;&gt;")+COUNTIFS('Avaliações Trimestrais'!$B$2:$B$1221,A6,'Avaliações Trimestrais'!$C$2:$C$1221,B6,'Avaliações Trimestrais'!$H$2:$H$1221,"&lt;&gt;")+COUNTIFS('Avaliações Trimestrais'!$B$2:$B$1221,A6,'Avaliações Trimestrais'!$C$2:$C$1221,B6,'Avaliações Trimestrais'!$I$2:$I$1221,"&lt;&gt;")+COUNTIFS('Avaliações Trimestrais'!$B$2:$B$1221,A6,'Avaliações Trimestrais'!$C$2:$C$1221,B6,'Avaliações Trimestrais'!$J$2:$J$1221,"&lt;&gt;")</x:f>
        <x:v>0</x:v>
      </x:c>
      <x:c r="G6" t="n">
        <x:f>COUNTIFS('Avaliações Trimestrais'!$B$2:$B$1221,A6,'Avaliações Trimestrais'!$C$2:$C$1221,B6,'Avaliações Trimestrais'!$G$2:$G$1221,"&lt;&gt;",'Avaliações Trimestrais'!$H$2:$H$1221,"&lt;&gt;",'Avaliações Trimestrais'!$I$2:$I$1221,"&lt;&gt;",'Avaliações Trimestrais'!$J$2:$J$1221,"&lt;&gt;")</x:f>
        <x:v>0</x:v>
      </x:c>
      <x:c r="H6" s="30" t="n">
        <x:f>G6/61</x:f>
        <x:v>0</x:v>
      </x:c>
    </x:row>
    <x:row r="7">
      <x:c r="A7" t="n">
        <x:v>2027</x:v>
      </x:c>
      <x:c r="B7" t="str">
        <x:v>T2</x:v>
      </x:c>
      <x:c r="C7" s="28" t="str">
        <x:f>IF((COUNTIFS('Avaliações Trimestrais'!$B$2:$B$1221,A7,'Avaliações Trimestrais'!$C$2:$C$1221,B7,'Avaliações Trimestrais'!$G$2:$G$1221,"&lt;&gt;")+COUNTIFS('Avaliações Trimestrais'!$B$2:$B$1221,A7,'Avaliações Trimestrais'!$C$2:$C$1221,B7,'Avaliações Trimestrais'!$I$2:$I$1221,"&lt;&gt;"))=0,"",(SUMIFS('Avaliações Trimestrais'!$G$2:$G$1221,'Avaliações Trimestrais'!$B$2:$B$1221,A7,'Avaliações Trimestrais'!$C$2:$C$1221,B7)+SUMIFS('Avaliações Trimestrais'!$I$2:$I$1221,'Avaliações Trimestrais'!$B$2:$B$1221,A7,'Avaliações Trimestrais'!$C$2:$C$1221,B7))/(COUNTIFS('Avaliações Trimestrais'!$B$2:$B$1221,A7,'Avaliações Trimestrais'!$C$2:$C$1221,B7,'Avaliações Trimestrais'!$G$2:$G$1221,"&lt;&gt;")+COUNTIFS('Avaliações Trimestrais'!$B$2:$B$1221,A7,'Avaliações Trimestrais'!$C$2:$C$1221,B7,'Avaliações Trimestrais'!$I$2:$I$1221,"&lt;&gt;")))</x:f>
      </x:c>
      <x:c r="D7" s="28" t="str">
        <x:f>IF((COUNTIFS('Avaliações Trimestrais'!$B$2:$B$1221,A7,'Avaliações Trimestrais'!$C$2:$C$1221,B7,'Avaliações Trimestrais'!$H$2:$H$1221,"&lt;&gt;")+COUNTIFS('Avaliações Trimestrais'!$B$2:$B$1221,A7,'Avaliações Trimestrais'!$C$2:$C$1221,B7,'Avaliações Trimestrais'!$J$2:$J$1221,"&lt;&gt;"))=0,"",(SUMIFS('Avaliações Trimestrais'!$H$2:$H$1221,'Avaliações Trimestrais'!$B$2:$B$1221,A7,'Avaliações Trimestrais'!$C$2:$C$1221,B7)+SUMIFS('Avaliações Trimestrais'!$J$2:$J$1221,'Avaliações Trimestrais'!$B$2:$B$1221,A7,'Avaliações Trimestrais'!$C$2:$C$1221,B7))/(COUNTIFS('Avaliações Trimestrais'!$B$2:$B$1221,A7,'Avaliações Trimestrais'!$C$2:$C$1221,B7,'Avaliações Trimestrais'!$H$2:$H$1221,"&lt;&gt;")+COUNTIFS('Avaliações Trimestrais'!$B$2:$B$1221,A7,'Avaliações Trimestrais'!$C$2:$C$1221,B7,'Avaliações Trimestrais'!$J$2:$J$1221,"&lt;&gt;")))</x:f>
      </x:c>
      <x:c r="E7" s="28" t="str">
        <x:f>IF(OR(C7="",D7=""),"",D7-C7)</x:f>
      </x:c>
      <x:c r="F7" t="n">
        <x:f>COUNTIFS('Avaliações Trimestrais'!$B$2:$B$1221,A7,'Avaliações Trimestrais'!$C$2:$C$1221,B7,'Avaliações Trimestrais'!$G$2:$G$1221,"&lt;&gt;")+COUNTIFS('Avaliações Trimestrais'!$B$2:$B$1221,A7,'Avaliações Trimestrais'!$C$2:$C$1221,B7,'Avaliações Trimestrais'!$H$2:$H$1221,"&lt;&gt;")+COUNTIFS('Avaliações Trimestrais'!$B$2:$B$1221,A7,'Avaliações Trimestrais'!$C$2:$C$1221,B7,'Avaliações Trimestrais'!$I$2:$I$1221,"&lt;&gt;")+COUNTIFS('Avaliações Trimestrais'!$B$2:$B$1221,A7,'Avaliações Trimestrais'!$C$2:$C$1221,B7,'Avaliações Trimestrais'!$J$2:$J$1221,"&lt;&gt;")</x:f>
        <x:v>0</x:v>
      </x:c>
      <x:c r="G7" t="n">
        <x:f>COUNTIFS('Avaliações Trimestrais'!$B$2:$B$1221,A7,'Avaliações Trimestrais'!$C$2:$C$1221,B7,'Avaliações Trimestrais'!$G$2:$G$1221,"&lt;&gt;",'Avaliações Trimestrais'!$H$2:$H$1221,"&lt;&gt;",'Avaliações Trimestrais'!$I$2:$I$1221,"&lt;&gt;",'Avaliações Trimestrais'!$J$2:$J$1221,"&lt;&gt;")</x:f>
        <x:v>0</x:v>
      </x:c>
      <x:c r="H7" s="30" t="n">
        <x:f>G7/61</x:f>
        <x:v>0</x:v>
      </x:c>
    </x:row>
    <x:row r="8">
      <x:c r="A8" t="n">
        <x:v>2027</x:v>
      </x:c>
      <x:c r="B8" t="str">
        <x:v>T3</x:v>
      </x:c>
      <x:c r="C8" s="28" t="str">
        <x:f>IF((COUNTIFS('Avaliações Trimestrais'!$B$2:$B$1221,A8,'Avaliações Trimestrais'!$C$2:$C$1221,B8,'Avaliações Trimestrais'!$G$2:$G$1221,"&lt;&gt;")+COUNTIFS('Avaliações Trimestrais'!$B$2:$B$1221,A8,'Avaliações Trimestrais'!$C$2:$C$1221,B8,'Avaliações Trimestrais'!$I$2:$I$1221,"&lt;&gt;"))=0,"",(SUMIFS('Avaliações Trimestrais'!$G$2:$G$1221,'Avaliações Trimestrais'!$B$2:$B$1221,A8,'Avaliações Trimestrais'!$C$2:$C$1221,B8)+SUMIFS('Avaliações Trimestrais'!$I$2:$I$1221,'Avaliações Trimestrais'!$B$2:$B$1221,A8,'Avaliações Trimestrais'!$C$2:$C$1221,B8))/(COUNTIFS('Avaliações Trimestrais'!$B$2:$B$1221,A8,'Avaliações Trimestrais'!$C$2:$C$1221,B8,'Avaliações Trimestrais'!$G$2:$G$1221,"&lt;&gt;")+COUNTIFS('Avaliações Trimestrais'!$B$2:$B$1221,A8,'Avaliações Trimestrais'!$C$2:$C$1221,B8,'Avaliações Trimestrais'!$I$2:$I$1221,"&lt;&gt;")))</x:f>
      </x:c>
      <x:c r="D8" s="28" t="str">
        <x:f>IF((COUNTIFS('Avaliações Trimestrais'!$B$2:$B$1221,A8,'Avaliações Trimestrais'!$C$2:$C$1221,B8,'Avaliações Trimestrais'!$H$2:$H$1221,"&lt;&gt;")+COUNTIFS('Avaliações Trimestrais'!$B$2:$B$1221,A8,'Avaliações Trimestrais'!$C$2:$C$1221,B8,'Avaliações Trimestrais'!$J$2:$J$1221,"&lt;&gt;"))=0,"",(SUMIFS('Avaliações Trimestrais'!$H$2:$H$1221,'Avaliações Trimestrais'!$B$2:$B$1221,A8,'Avaliações Trimestrais'!$C$2:$C$1221,B8)+SUMIFS('Avaliações Trimestrais'!$J$2:$J$1221,'Avaliações Trimestrais'!$B$2:$B$1221,A8,'Avaliações Trimestrais'!$C$2:$C$1221,B8))/(COUNTIFS('Avaliações Trimestrais'!$B$2:$B$1221,A8,'Avaliações Trimestrais'!$C$2:$C$1221,B8,'Avaliações Trimestrais'!$H$2:$H$1221,"&lt;&gt;")+COUNTIFS('Avaliações Trimestrais'!$B$2:$B$1221,A8,'Avaliações Trimestrais'!$C$2:$C$1221,B8,'Avaliações Trimestrais'!$J$2:$J$1221,"&lt;&gt;")))</x:f>
      </x:c>
      <x:c r="E8" s="28" t="str">
        <x:f>IF(OR(C8="",D8=""),"",D8-C8)</x:f>
      </x:c>
      <x:c r="F8" t="n">
        <x:f>COUNTIFS('Avaliações Trimestrais'!$B$2:$B$1221,A8,'Avaliações Trimestrais'!$C$2:$C$1221,B8,'Avaliações Trimestrais'!$G$2:$G$1221,"&lt;&gt;")+COUNTIFS('Avaliações Trimestrais'!$B$2:$B$1221,A8,'Avaliações Trimestrais'!$C$2:$C$1221,B8,'Avaliações Trimestrais'!$H$2:$H$1221,"&lt;&gt;")+COUNTIFS('Avaliações Trimestrais'!$B$2:$B$1221,A8,'Avaliações Trimestrais'!$C$2:$C$1221,B8,'Avaliações Trimestrais'!$I$2:$I$1221,"&lt;&gt;")+COUNTIFS('Avaliações Trimestrais'!$B$2:$B$1221,A8,'Avaliações Trimestrais'!$C$2:$C$1221,B8,'Avaliações Trimestrais'!$J$2:$J$1221,"&lt;&gt;")</x:f>
        <x:v>0</x:v>
      </x:c>
      <x:c r="G8" t="n">
        <x:f>COUNTIFS('Avaliações Trimestrais'!$B$2:$B$1221,A8,'Avaliações Trimestrais'!$C$2:$C$1221,B8,'Avaliações Trimestrais'!$G$2:$G$1221,"&lt;&gt;",'Avaliações Trimestrais'!$H$2:$H$1221,"&lt;&gt;",'Avaliações Trimestrais'!$I$2:$I$1221,"&lt;&gt;",'Avaliações Trimestrais'!$J$2:$J$1221,"&lt;&gt;")</x:f>
        <x:v>0</x:v>
      </x:c>
      <x:c r="H8" s="30" t="n">
        <x:f>G8/61</x:f>
        <x:v>0</x:v>
      </x:c>
    </x:row>
    <x:row r="9">
      <x:c r="A9" t="n">
        <x:v>2027</x:v>
      </x:c>
      <x:c r="B9" t="str">
        <x:v>T4</x:v>
      </x:c>
      <x:c r="C9" s="28" t="str">
        <x:f>IF((COUNTIFS('Avaliações Trimestrais'!$B$2:$B$1221,A9,'Avaliações Trimestrais'!$C$2:$C$1221,B9,'Avaliações Trimestrais'!$G$2:$G$1221,"&lt;&gt;")+COUNTIFS('Avaliações Trimestrais'!$B$2:$B$1221,A9,'Avaliações Trimestrais'!$C$2:$C$1221,B9,'Avaliações Trimestrais'!$I$2:$I$1221,"&lt;&gt;"))=0,"",(SUMIFS('Avaliações Trimestrais'!$G$2:$G$1221,'Avaliações Trimestrais'!$B$2:$B$1221,A9,'Avaliações Trimestrais'!$C$2:$C$1221,B9)+SUMIFS('Avaliações Trimestrais'!$I$2:$I$1221,'Avaliações Trimestrais'!$B$2:$B$1221,A9,'Avaliações Trimestrais'!$C$2:$C$1221,B9))/(COUNTIFS('Avaliações Trimestrais'!$B$2:$B$1221,A9,'Avaliações Trimestrais'!$C$2:$C$1221,B9,'Avaliações Trimestrais'!$G$2:$G$1221,"&lt;&gt;")+COUNTIFS('Avaliações Trimestrais'!$B$2:$B$1221,A9,'Avaliações Trimestrais'!$C$2:$C$1221,B9,'Avaliações Trimestrais'!$I$2:$I$1221,"&lt;&gt;")))</x:f>
      </x:c>
      <x:c r="D9" s="28" t="str">
        <x:f>IF((COUNTIFS('Avaliações Trimestrais'!$B$2:$B$1221,A9,'Avaliações Trimestrais'!$C$2:$C$1221,B9,'Avaliações Trimestrais'!$H$2:$H$1221,"&lt;&gt;")+COUNTIFS('Avaliações Trimestrais'!$B$2:$B$1221,A9,'Avaliações Trimestrais'!$C$2:$C$1221,B9,'Avaliações Trimestrais'!$J$2:$J$1221,"&lt;&gt;"))=0,"",(SUMIFS('Avaliações Trimestrais'!$H$2:$H$1221,'Avaliações Trimestrais'!$B$2:$B$1221,A9,'Avaliações Trimestrais'!$C$2:$C$1221,B9)+SUMIFS('Avaliações Trimestrais'!$J$2:$J$1221,'Avaliações Trimestrais'!$B$2:$B$1221,A9,'Avaliações Trimestrais'!$C$2:$C$1221,B9))/(COUNTIFS('Avaliações Trimestrais'!$B$2:$B$1221,A9,'Avaliações Trimestrais'!$C$2:$C$1221,B9,'Avaliações Trimestrais'!$H$2:$H$1221,"&lt;&gt;")+COUNTIFS('Avaliações Trimestrais'!$B$2:$B$1221,A9,'Avaliações Trimestrais'!$C$2:$C$1221,B9,'Avaliações Trimestrais'!$J$2:$J$1221,"&lt;&gt;")))</x:f>
      </x:c>
      <x:c r="E9" s="28" t="str">
        <x:f>IF(OR(C9="",D9=""),"",D9-C9)</x:f>
      </x:c>
      <x:c r="F9" t="n">
        <x:f>COUNTIFS('Avaliações Trimestrais'!$B$2:$B$1221,A9,'Avaliações Trimestrais'!$C$2:$C$1221,B9,'Avaliações Trimestrais'!$G$2:$G$1221,"&lt;&gt;")+COUNTIFS('Avaliações Trimestrais'!$B$2:$B$1221,A9,'Avaliações Trimestrais'!$C$2:$C$1221,B9,'Avaliações Trimestrais'!$H$2:$H$1221,"&lt;&gt;")+COUNTIFS('Avaliações Trimestrais'!$B$2:$B$1221,A9,'Avaliações Trimestrais'!$C$2:$C$1221,B9,'Avaliações Trimestrais'!$I$2:$I$1221,"&lt;&gt;")+COUNTIFS('Avaliações Trimestrais'!$B$2:$B$1221,A9,'Avaliações Trimestrais'!$C$2:$C$1221,B9,'Avaliações Trimestrais'!$J$2:$J$1221,"&lt;&gt;")</x:f>
        <x:v>0</x:v>
      </x:c>
      <x:c r="G9" t="n">
        <x:f>COUNTIFS('Avaliações Trimestrais'!$B$2:$B$1221,A9,'Avaliações Trimestrais'!$C$2:$C$1221,B9,'Avaliações Trimestrais'!$G$2:$G$1221,"&lt;&gt;",'Avaliações Trimestrais'!$H$2:$H$1221,"&lt;&gt;",'Avaliações Trimestrais'!$I$2:$I$1221,"&lt;&gt;",'Avaliações Trimestrais'!$J$2:$J$1221,"&lt;&gt;")</x:f>
        <x:v>0</x:v>
      </x:c>
      <x:c r="H9" s="30" t="n">
        <x:f>G9/61</x:f>
        <x:v>0</x:v>
      </x:c>
    </x:row>
    <x:row r="10">
      <x:c r="A10" t="n">
        <x:v>2028</x:v>
      </x:c>
      <x:c r="B10" t="str">
        <x:v>T1</x:v>
      </x:c>
      <x:c r="C10" s="28" t="str">
        <x:f>IF((COUNTIFS('Avaliações Trimestrais'!$B$2:$B$1221,A10,'Avaliações Trimestrais'!$C$2:$C$1221,B10,'Avaliações Trimestrais'!$G$2:$G$1221,"&lt;&gt;")+COUNTIFS('Avaliações Trimestrais'!$B$2:$B$1221,A10,'Avaliações Trimestrais'!$C$2:$C$1221,B10,'Avaliações Trimestrais'!$I$2:$I$1221,"&lt;&gt;"))=0,"",(SUMIFS('Avaliações Trimestrais'!$G$2:$G$1221,'Avaliações Trimestrais'!$B$2:$B$1221,A10,'Avaliações Trimestrais'!$C$2:$C$1221,B10)+SUMIFS('Avaliações Trimestrais'!$I$2:$I$1221,'Avaliações Trimestrais'!$B$2:$B$1221,A10,'Avaliações Trimestrais'!$C$2:$C$1221,B10))/(COUNTIFS('Avaliações Trimestrais'!$B$2:$B$1221,A10,'Avaliações Trimestrais'!$C$2:$C$1221,B10,'Avaliações Trimestrais'!$G$2:$G$1221,"&lt;&gt;")+COUNTIFS('Avaliações Trimestrais'!$B$2:$B$1221,A10,'Avaliações Trimestrais'!$C$2:$C$1221,B10,'Avaliações Trimestrais'!$I$2:$I$1221,"&lt;&gt;")))</x:f>
      </x:c>
      <x:c r="D10" s="28" t="str">
        <x:f>IF((COUNTIFS('Avaliações Trimestrais'!$B$2:$B$1221,A10,'Avaliações Trimestrais'!$C$2:$C$1221,B10,'Avaliações Trimestrais'!$H$2:$H$1221,"&lt;&gt;")+COUNTIFS('Avaliações Trimestrais'!$B$2:$B$1221,A10,'Avaliações Trimestrais'!$C$2:$C$1221,B10,'Avaliações Trimestrais'!$J$2:$J$1221,"&lt;&gt;"))=0,"",(SUMIFS('Avaliações Trimestrais'!$H$2:$H$1221,'Avaliações Trimestrais'!$B$2:$B$1221,A10,'Avaliações Trimestrais'!$C$2:$C$1221,B10)+SUMIFS('Avaliações Trimestrais'!$J$2:$J$1221,'Avaliações Trimestrais'!$B$2:$B$1221,A10,'Avaliações Trimestrais'!$C$2:$C$1221,B10))/(COUNTIFS('Avaliações Trimestrais'!$B$2:$B$1221,A10,'Avaliações Trimestrais'!$C$2:$C$1221,B10,'Avaliações Trimestrais'!$H$2:$H$1221,"&lt;&gt;")+COUNTIFS('Avaliações Trimestrais'!$B$2:$B$1221,A10,'Avaliações Trimestrais'!$C$2:$C$1221,B10,'Avaliações Trimestrais'!$J$2:$J$1221,"&lt;&gt;")))</x:f>
      </x:c>
      <x:c r="E10" s="28" t="str">
        <x:f>IF(OR(C10="",D10=""),"",D10-C10)</x:f>
      </x:c>
      <x:c r="F10" t="n">
        <x:f>COUNTIFS('Avaliações Trimestrais'!$B$2:$B$1221,A10,'Avaliações Trimestrais'!$C$2:$C$1221,B10,'Avaliações Trimestrais'!$G$2:$G$1221,"&lt;&gt;")+COUNTIFS('Avaliações Trimestrais'!$B$2:$B$1221,A10,'Avaliações Trimestrais'!$C$2:$C$1221,B10,'Avaliações Trimestrais'!$H$2:$H$1221,"&lt;&gt;")+COUNTIFS('Avaliações Trimestrais'!$B$2:$B$1221,A10,'Avaliações Trimestrais'!$C$2:$C$1221,B10,'Avaliações Trimestrais'!$I$2:$I$1221,"&lt;&gt;")+COUNTIFS('Avaliações Trimestrais'!$B$2:$B$1221,A10,'Avaliações Trimestrais'!$C$2:$C$1221,B10,'Avaliações Trimestrais'!$J$2:$J$1221,"&lt;&gt;")</x:f>
        <x:v>0</x:v>
      </x:c>
      <x:c r="G10" t="n">
        <x:f>COUNTIFS('Avaliações Trimestrais'!$B$2:$B$1221,A10,'Avaliações Trimestrais'!$C$2:$C$1221,B10,'Avaliações Trimestrais'!$G$2:$G$1221,"&lt;&gt;",'Avaliações Trimestrais'!$H$2:$H$1221,"&lt;&gt;",'Avaliações Trimestrais'!$I$2:$I$1221,"&lt;&gt;",'Avaliações Trimestrais'!$J$2:$J$1221,"&lt;&gt;")</x:f>
        <x:v>0</x:v>
      </x:c>
      <x:c r="H10" s="30" t="n">
        <x:f>G10/61</x:f>
        <x:v>0</x:v>
      </x:c>
    </x:row>
    <x:row r="11">
      <x:c r="A11" t="n">
        <x:v>2028</x:v>
      </x:c>
      <x:c r="B11" t="str">
        <x:v>T2</x:v>
      </x:c>
      <x:c r="C11" s="28" t="str">
        <x:f>IF((COUNTIFS('Avaliações Trimestrais'!$B$2:$B$1221,A11,'Avaliações Trimestrais'!$C$2:$C$1221,B11,'Avaliações Trimestrais'!$G$2:$G$1221,"&lt;&gt;")+COUNTIFS('Avaliações Trimestrais'!$B$2:$B$1221,A11,'Avaliações Trimestrais'!$C$2:$C$1221,B11,'Avaliações Trimestrais'!$I$2:$I$1221,"&lt;&gt;"))=0,"",(SUMIFS('Avaliações Trimestrais'!$G$2:$G$1221,'Avaliações Trimestrais'!$B$2:$B$1221,A11,'Avaliações Trimestrais'!$C$2:$C$1221,B11)+SUMIFS('Avaliações Trimestrais'!$I$2:$I$1221,'Avaliações Trimestrais'!$B$2:$B$1221,A11,'Avaliações Trimestrais'!$C$2:$C$1221,B11))/(COUNTIFS('Avaliações Trimestrais'!$B$2:$B$1221,A11,'Avaliações Trimestrais'!$C$2:$C$1221,B11,'Avaliações Trimestrais'!$G$2:$G$1221,"&lt;&gt;")+COUNTIFS('Avaliações Trimestrais'!$B$2:$B$1221,A11,'Avaliações Trimestrais'!$C$2:$C$1221,B11,'Avaliações Trimestrais'!$I$2:$I$1221,"&lt;&gt;")))</x:f>
      </x:c>
      <x:c r="D11" s="28" t="str">
        <x:f>IF((COUNTIFS('Avaliações Trimestrais'!$B$2:$B$1221,A11,'Avaliações Trimestrais'!$C$2:$C$1221,B11,'Avaliações Trimestrais'!$H$2:$H$1221,"&lt;&gt;")+COUNTIFS('Avaliações Trimestrais'!$B$2:$B$1221,A11,'Avaliações Trimestrais'!$C$2:$C$1221,B11,'Avaliações Trimestrais'!$J$2:$J$1221,"&lt;&gt;"))=0,"",(SUMIFS('Avaliações Trimestrais'!$H$2:$H$1221,'Avaliações Trimestrais'!$B$2:$B$1221,A11,'Avaliações Trimestrais'!$C$2:$C$1221,B11)+SUMIFS('Avaliações Trimestrais'!$J$2:$J$1221,'Avaliações Trimestrais'!$B$2:$B$1221,A11,'Avaliações Trimestrais'!$C$2:$C$1221,B11))/(COUNTIFS('Avaliações Trimestrais'!$B$2:$B$1221,A11,'Avaliações Trimestrais'!$C$2:$C$1221,B11,'Avaliações Trimestrais'!$H$2:$H$1221,"&lt;&gt;")+COUNTIFS('Avaliações Trimestrais'!$B$2:$B$1221,A11,'Avaliações Trimestrais'!$C$2:$C$1221,B11,'Avaliações Trimestrais'!$J$2:$J$1221,"&lt;&gt;")))</x:f>
      </x:c>
      <x:c r="E11" s="28" t="str">
        <x:f>IF(OR(C11="",D11=""),"",D11-C11)</x:f>
      </x:c>
      <x:c r="F11" t="n">
        <x:f>COUNTIFS('Avaliações Trimestrais'!$B$2:$B$1221,A11,'Avaliações Trimestrais'!$C$2:$C$1221,B11,'Avaliações Trimestrais'!$G$2:$G$1221,"&lt;&gt;")+COUNTIFS('Avaliações Trimestrais'!$B$2:$B$1221,A11,'Avaliações Trimestrais'!$C$2:$C$1221,B11,'Avaliações Trimestrais'!$H$2:$H$1221,"&lt;&gt;")+COUNTIFS('Avaliações Trimestrais'!$B$2:$B$1221,A11,'Avaliações Trimestrais'!$C$2:$C$1221,B11,'Avaliações Trimestrais'!$I$2:$I$1221,"&lt;&gt;")+COUNTIFS('Avaliações Trimestrais'!$B$2:$B$1221,A11,'Avaliações Trimestrais'!$C$2:$C$1221,B11,'Avaliações Trimestrais'!$J$2:$J$1221,"&lt;&gt;")</x:f>
        <x:v>0</x:v>
      </x:c>
      <x:c r="G11" t="n">
        <x:f>COUNTIFS('Avaliações Trimestrais'!$B$2:$B$1221,A11,'Avaliações Trimestrais'!$C$2:$C$1221,B11,'Avaliações Trimestrais'!$G$2:$G$1221,"&lt;&gt;",'Avaliações Trimestrais'!$H$2:$H$1221,"&lt;&gt;",'Avaliações Trimestrais'!$I$2:$I$1221,"&lt;&gt;",'Avaliações Trimestrais'!$J$2:$J$1221,"&lt;&gt;")</x:f>
        <x:v>0</x:v>
      </x:c>
      <x:c r="H11" s="30" t="n">
        <x:f>G11/61</x:f>
        <x:v>0</x:v>
      </x:c>
    </x:row>
    <x:row r="12">
      <x:c r="A12" t="n">
        <x:v>2028</x:v>
      </x:c>
      <x:c r="B12" t="str">
        <x:v>T3</x:v>
      </x:c>
      <x:c r="C12" s="28" t="str">
        <x:f>IF((COUNTIFS('Avaliações Trimestrais'!$B$2:$B$1221,A12,'Avaliações Trimestrais'!$C$2:$C$1221,B12,'Avaliações Trimestrais'!$G$2:$G$1221,"&lt;&gt;")+COUNTIFS('Avaliações Trimestrais'!$B$2:$B$1221,A12,'Avaliações Trimestrais'!$C$2:$C$1221,B12,'Avaliações Trimestrais'!$I$2:$I$1221,"&lt;&gt;"))=0,"",(SUMIFS('Avaliações Trimestrais'!$G$2:$G$1221,'Avaliações Trimestrais'!$B$2:$B$1221,A12,'Avaliações Trimestrais'!$C$2:$C$1221,B12)+SUMIFS('Avaliações Trimestrais'!$I$2:$I$1221,'Avaliações Trimestrais'!$B$2:$B$1221,A12,'Avaliações Trimestrais'!$C$2:$C$1221,B12))/(COUNTIFS('Avaliações Trimestrais'!$B$2:$B$1221,A12,'Avaliações Trimestrais'!$C$2:$C$1221,B12,'Avaliações Trimestrais'!$G$2:$G$1221,"&lt;&gt;")+COUNTIFS('Avaliações Trimestrais'!$B$2:$B$1221,A12,'Avaliações Trimestrais'!$C$2:$C$1221,B12,'Avaliações Trimestrais'!$I$2:$I$1221,"&lt;&gt;")))</x:f>
      </x:c>
      <x:c r="D12" s="28" t="str">
        <x:f>IF((COUNTIFS('Avaliações Trimestrais'!$B$2:$B$1221,A12,'Avaliações Trimestrais'!$C$2:$C$1221,B12,'Avaliações Trimestrais'!$H$2:$H$1221,"&lt;&gt;")+COUNTIFS('Avaliações Trimestrais'!$B$2:$B$1221,A12,'Avaliações Trimestrais'!$C$2:$C$1221,B12,'Avaliações Trimestrais'!$J$2:$J$1221,"&lt;&gt;"))=0,"",(SUMIFS('Avaliações Trimestrais'!$H$2:$H$1221,'Avaliações Trimestrais'!$B$2:$B$1221,A12,'Avaliações Trimestrais'!$C$2:$C$1221,B12)+SUMIFS('Avaliações Trimestrais'!$J$2:$J$1221,'Avaliações Trimestrais'!$B$2:$B$1221,A12,'Avaliações Trimestrais'!$C$2:$C$1221,B12))/(COUNTIFS('Avaliações Trimestrais'!$B$2:$B$1221,A12,'Avaliações Trimestrais'!$C$2:$C$1221,B12,'Avaliações Trimestrais'!$H$2:$H$1221,"&lt;&gt;")+COUNTIFS('Avaliações Trimestrais'!$B$2:$B$1221,A12,'Avaliações Trimestrais'!$C$2:$C$1221,B12,'Avaliações Trimestrais'!$J$2:$J$1221,"&lt;&gt;")))</x:f>
      </x:c>
      <x:c r="E12" s="28" t="str">
        <x:f>IF(OR(C12="",D12=""),"",D12-C12)</x:f>
      </x:c>
      <x:c r="F12" t="n">
        <x:f>COUNTIFS('Avaliações Trimestrais'!$B$2:$B$1221,A12,'Avaliações Trimestrais'!$C$2:$C$1221,B12,'Avaliações Trimestrais'!$G$2:$G$1221,"&lt;&gt;")+COUNTIFS('Avaliações Trimestrais'!$B$2:$B$1221,A12,'Avaliações Trimestrais'!$C$2:$C$1221,B12,'Avaliações Trimestrais'!$H$2:$H$1221,"&lt;&gt;")+COUNTIFS('Avaliações Trimestrais'!$B$2:$B$1221,A12,'Avaliações Trimestrais'!$C$2:$C$1221,B12,'Avaliações Trimestrais'!$I$2:$I$1221,"&lt;&gt;")+COUNTIFS('Avaliações Trimestrais'!$B$2:$B$1221,A12,'Avaliações Trimestrais'!$C$2:$C$1221,B12,'Avaliações Trimestrais'!$J$2:$J$1221,"&lt;&gt;")</x:f>
        <x:v>0</x:v>
      </x:c>
      <x:c r="G12" t="n">
        <x:f>COUNTIFS('Avaliações Trimestrais'!$B$2:$B$1221,A12,'Avaliações Trimestrais'!$C$2:$C$1221,B12,'Avaliações Trimestrais'!$G$2:$G$1221,"&lt;&gt;",'Avaliações Trimestrais'!$H$2:$H$1221,"&lt;&gt;",'Avaliações Trimestrais'!$I$2:$I$1221,"&lt;&gt;",'Avaliações Trimestrais'!$J$2:$J$1221,"&lt;&gt;")</x:f>
        <x:v>0</x:v>
      </x:c>
      <x:c r="H12" s="30" t="n">
        <x:f>G12/61</x:f>
        <x:v>0</x:v>
      </x:c>
    </x:row>
    <x:row r="13">
      <x:c r="A13" t="n">
        <x:v>2028</x:v>
      </x:c>
      <x:c r="B13" t="str">
        <x:v>T4</x:v>
      </x:c>
      <x:c r="C13" s="28" t="str">
        <x:f>IF((COUNTIFS('Avaliações Trimestrais'!$B$2:$B$1221,A13,'Avaliações Trimestrais'!$C$2:$C$1221,B13,'Avaliações Trimestrais'!$G$2:$G$1221,"&lt;&gt;")+COUNTIFS('Avaliações Trimestrais'!$B$2:$B$1221,A13,'Avaliações Trimestrais'!$C$2:$C$1221,B13,'Avaliações Trimestrais'!$I$2:$I$1221,"&lt;&gt;"))=0,"",(SUMIFS('Avaliações Trimestrais'!$G$2:$G$1221,'Avaliações Trimestrais'!$B$2:$B$1221,A13,'Avaliações Trimestrais'!$C$2:$C$1221,B13)+SUMIFS('Avaliações Trimestrais'!$I$2:$I$1221,'Avaliações Trimestrais'!$B$2:$B$1221,A13,'Avaliações Trimestrais'!$C$2:$C$1221,B13))/(COUNTIFS('Avaliações Trimestrais'!$B$2:$B$1221,A13,'Avaliações Trimestrais'!$C$2:$C$1221,B13,'Avaliações Trimestrais'!$G$2:$G$1221,"&lt;&gt;")+COUNTIFS('Avaliações Trimestrais'!$B$2:$B$1221,A13,'Avaliações Trimestrais'!$C$2:$C$1221,B13,'Avaliações Trimestrais'!$I$2:$I$1221,"&lt;&gt;")))</x:f>
      </x:c>
      <x:c r="D13" s="28" t="str">
        <x:f>IF((COUNTIFS('Avaliações Trimestrais'!$B$2:$B$1221,A13,'Avaliações Trimestrais'!$C$2:$C$1221,B13,'Avaliações Trimestrais'!$H$2:$H$1221,"&lt;&gt;")+COUNTIFS('Avaliações Trimestrais'!$B$2:$B$1221,A13,'Avaliações Trimestrais'!$C$2:$C$1221,B13,'Avaliações Trimestrais'!$J$2:$J$1221,"&lt;&gt;"))=0,"",(SUMIFS('Avaliações Trimestrais'!$H$2:$H$1221,'Avaliações Trimestrais'!$B$2:$B$1221,A13,'Avaliações Trimestrais'!$C$2:$C$1221,B13)+SUMIFS('Avaliações Trimestrais'!$J$2:$J$1221,'Avaliações Trimestrais'!$B$2:$B$1221,A13,'Avaliações Trimestrais'!$C$2:$C$1221,B13))/(COUNTIFS('Avaliações Trimestrais'!$B$2:$B$1221,A13,'Avaliações Trimestrais'!$C$2:$C$1221,B13,'Avaliações Trimestrais'!$H$2:$H$1221,"&lt;&gt;")+COUNTIFS('Avaliações Trimestrais'!$B$2:$B$1221,A13,'Avaliações Trimestrais'!$C$2:$C$1221,B13,'Avaliações Trimestrais'!$J$2:$J$1221,"&lt;&gt;")))</x:f>
      </x:c>
      <x:c r="E13" s="28" t="str">
        <x:f>IF(OR(C13="",D13=""),"",D13-C13)</x:f>
      </x:c>
      <x:c r="F13" t="n">
        <x:f>COUNTIFS('Avaliações Trimestrais'!$B$2:$B$1221,A13,'Avaliações Trimestrais'!$C$2:$C$1221,B13,'Avaliações Trimestrais'!$G$2:$G$1221,"&lt;&gt;")+COUNTIFS('Avaliações Trimestrais'!$B$2:$B$1221,A13,'Avaliações Trimestrais'!$C$2:$C$1221,B13,'Avaliações Trimestrais'!$H$2:$H$1221,"&lt;&gt;")+COUNTIFS('Avaliações Trimestrais'!$B$2:$B$1221,A13,'Avaliações Trimestrais'!$C$2:$C$1221,B13,'Avaliações Trimestrais'!$I$2:$I$1221,"&lt;&gt;")+COUNTIFS('Avaliações Trimestrais'!$B$2:$B$1221,A13,'Avaliações Trimestrais'!$C$2:$C$1221,B13,'Avaliações Trimestrais'!$J$2:$J$1221,"&lt;&gt;")</x:f>
        <x:v>0</x:v>
      </x:c>
      <x:c r="G13" t="n">
        <x:f>COUNTIFS('Avaliações Trimestrais'!$B$2:$B$1221,A13,'Avaliações Trimestrais'!$C$2:$C$1221,B13,'Avaliações Trimestrais'!$G$2:$G$1221,"&lt;&gt;",'Avaliações Trimestrais'!$H$2:$H$1221,"&lt;&gt;",'Avaliações Trimestrais'!$I$2:$I$1221,"&lt;&gt;",'Avaliações Trimestrais'!$J$2:$J$1221,"&lt;&gt;")</x:f>
        <x:v>0</x:v>
      </x:c>
      <x:c r="H13" s="30" t="n">
        <x:f>G13/61</x:f>
        <x:v>0</x:v>
      </x:c>
    </x:row>
    <x:row r="14">
      <x:c r="A14" t="n">
        <x:v>2029</x:v>
      </x:c>
      <x:c r="B14" t="str">
        <x:v>T1</x:v>
      </x:c>
      <x:c r="C14" s="28" t="str">
        <x:f>IF((COUNTIFS('Avaliações Trimestrais'!$B$2:$B$1221,A14,'Avaliações Trimestrais'!$C$2:$C$1221,B14,'Avaliações Trimestrais'!$G$2:$G$1221,"&lt;&gt;")+COUNTIFS('Avaliações Trimestrais'!$B$2:$B$1221,A14,'Avaliações Trimestrais'!$C$2:$C$1221,B14,'Avaliações Trimestrais'!$I$2:$I$1221,"&lt;&gt;"))=0,"",(SUMIFS('Avaliações Trimestrais'!$G$2:$G$1221,'Avaliações Trimestrais'!$B$2:$B$1221,A14,'Avaliações Trimestrais'!$C$2:$C$1221,B14)+SUMIFS('Avaliações Trimestrais'!$I$2:$I$1221,'Avaliações Trimestrais'!$B$2:$B$1221,A14,'Avaliações Trimestrais'!$C$2:$C$1221,B14))/(COUNTIFS('Avaliações Trimestrais'!$B$2:$B$1221,A14,'Avaliações Trimestrais'!$C$2:$C$1221,B14,'Avaliações Trimestrais'!$G$2:$G$1221,"&lt;&gt;")+COUNTIFS('Avaliações Trimestrais'!$B$2:$B$1221,A14,'Avaliações Trimestrais'!$C$2:$C$1221,B14,'Avaliações Trimestrais'!$I$2:$I$1221,"&lt;&gt;")))</x:f>
      </x:c>
      <x:c r="D14" s="28" t="str">
        <x:f>IF((COUNTIFS('Avaliações Trimestrais'!$B$2:$B$1221,A14,'Avaliações Trimestrais'!$C$2:$C$1221,B14,'Avaliações Trimestrais'!$H$2:$H$1221,"&lt;&gt;")+COUNTIFS('Avaliações Trimestrais'!$B$2:$B$1221,A14,'Avaliações Trimestrais'!$C$2:$C$1221,B14,'Avaliações Trimestrais'!$J$2:$J$1221,"&lt;&gt;"))=0,"",(SUMIFS('Avaliações Trimestrais'!$H$2:$H$1221,'Avaliações Trimestrais'!$B$2:$B$1221,A14,'Avaliações Trimestrais'!$C$2:$C$1221,B14)+SUMIFS('Avaliações Trimestrais'!$J$2:$J$1221,'Avaliações Trimestrais'!$B$2:$B$1221,A14,'Avaliações Trimestrais'!$C$2:$C$1221,B14))/(COUNTIFS('Avaliações Trimestrais'!$B$2:$B$1221,A14,'Avaliações Trimestrais'!$C$2:$C$1221,B14,'Avaliações Trimestrais'!$H$2:$H$1221,"&lt;&gt;")+COUNTIFS('Avaliações Trimestrais'!$B$2:$B$1221,A14,'Avaliações Trimestrais'!$C$2:$C$1221,B14,'Avaliações Trimestrais'!$J$2:$J$1221,"&lt;&gt;")))</x:f>
      </x:c>
      <x:c r="E14" s="28" t="str">
        <x:f>IF(OR(C14="",D14=""),"",D14-C14)</x:f>
      </x:c>
      <x:c r="F14" t="n">
        <x:f>COUNTIFS('Avaliações Trimestrais'!$B$2:$B$1221,A14,'Avaliações Trimestrais'!$C$2:$C$1221,B14,'Avaliações Trimestrais'!$G$2:$G$1221,"&lt;&gt;")+COUNTIFS('Avaliações Trimestrais'!$B$2:$B$1221,A14,'Avaliações Trimestrais'!$C$2:$C$1221,B14,'Avaliações Trimestrais'!$H$2:$H$1221,"&lt;&gt;")+COUNTIFS('Avaliações Trimestrais'!$B$2:$B$1221,A14,'Avaliações Trimestrais'!$C$2:$C$1221,B14,'Avaliações Trimestrais'!$I$2:$I$1221,"&lt;&gt;")+COUNTIFS('Avaliações Trimestrais'!$B$2:$B$1221,A14,'Avaliações Trimestrais'!$C$2:$C$1221,B14,'Avaliações Trimestrais'!$J$2:$J$1221,"&lt;&gt;")</x:f>
        <x:v>0</x:v>
      </x:c>
      <x:c r="G14" t="n">
        <x:f>COUNTIFS('Avaliações Trimestrais'!$B$2:$B$1221,A14,'Avaliações Trimestrais'!$C$2:$C$1221,B14,'Avaliações Trimestrais'!$G$2:$G$1221,"&lt;&gt;",'Avaliações Trimestrais'!$H$2:$H$1221,"&lt;&gt;",'Avaliações Trimestrais'!$I$2:$I$1221,"&lt;&gt;",'Avaliações Trimestrais'!$J$2:$J$1221,"&lt;&gt;")</x:f>
        <x:v>0</x:v>
      </x:c>
      <x:c r="H14" s="30" t="n">
        <x:f>G14/61</x:f>
        <x:v>0</x:v>
      </x:c>
    </x:row>
    <x:row r="15">
      <x:c r="A15" t="n">
        <x:v>2029</x:v>
      </x:c>
      <x:c r="B15" t="str">
        <x:v>T2</x:v>
      </x:c>
      <x:c r="C15" s="28" t="str">
        <x:f>IF((COUNTIFS('Avaliações Trimestrais'!$B$2:$B$1221,A15,'Avaliações Trimestrais'!$C$2:$C$1221,B15,'Avaliações Trimestrais'!$G$2:$G$1221,"&lt;&gt;")+COUNTIFS('Avaliações Trimestrais'!$B$2:$B$1221,A15,'Avaliações Trimestrais'!$C$2:$C$1221,B15,'Avaliações Trimestrais'!$I$2:$I$1221,"&lt;&gt;"))=0,"",(SUMIFS('Avaliações Trimestrais'!$G$2:$G$1221,'Avaliações Trimestrais'!$B$2:$B$1221,A15,'Avaliações Trimestrais'!$C$2:$C$1221,B15)+SUMIFS('Avaliações Trimestrais'!$I$2:$I$1221,'Avaliações Trimestrais'!$B$2:$B$1221,A15,'Avaliações Trimestrais'!$C$2:$C$1221,B15))/(COUNTIFS('Avaliações Trimestrais'!$B$2:$B$1221,A15,'Avaliações Trimestrais'!$C$2:$C$1221,B15,'Avaliações Trimestrais'!$G$2:$G$1221,"&lt;&gt;")+COUNTIFS('Avaliações Trimestrais'!$B$2:$B$1221,A15,'Avaliações Trimestrais'!$C$2:$C$1221,B15,'Avaliações Trimestrais'!$I$2:$I$1221,"&lt;&gt;")))</x:f>
      </x:c>
      <x:c r="D15" s="28" t="str">
        <x:f>IF((COUNTIFS('Avaliações Trimestrais'!$B$2:$B$1221,A15,'Avaliações Trimestrais'!$C$2:$C$1221,B15,'Avaliações Trimestrais'!$H$2:$H$1221,"&lt;&gt;")+COUNTIFS('Avaliações Trimestrais'!$B$2:$B$1221,A15,'Avaliações Trimestrais'!$C$2:$C$1221,B15,'Avaliações Trimestrais'!$J$2:$J$1221,"&lt;&gt;"))=0,"",(SUMIFS('Avaliações Trimestrais'!$H$2:$H$1221,'Avaliações Trimestrais'!$B$2:$B$1221,A15,'Avaliações Trimestrais'!$C$2:$C$1221,B15)+SUMIFS('Avaliações Trimestrais'!$J$2:$J$1221,'Avaliações Trimestrais'!$B$2:$B$1221,A15,'Avaliações Trimestrais'!$C$2:$C$1221,B15))/(COUNTIFS('Avaliações Trimestrais'!$B$2:$B$1221,A15,'Avaliações Trimestrais'!$C$2:$C$1221,B15,'Avaliações Trimestrais'!$H$2:$H$1221,"&lt;&gt;")+COUNTIFS('Avaliações Trimestrais'!$B$2:$B$1221,A15,'Avaliações Trimestrais'!$C$2:$C$1221,B15,'Avaliações Trimestrais'!$J$2:$J$1221,"&lt;&gt;")))</x:f>
      </x:c>
      <x:c r="E15" s="28" t="str">
        <x:f>IF(OR(C15="",D15=""),"",D15-C15)</x:f>
      </x:c>
      <x:c r="F15" t="n">
        <x:f>COUNTIFS('Avaliações Trimestrais'!$B$2:$B$1221,A15,'Avaliações Trimestrais'!$C$2:$C$1221,B15,'Avaliações Trimestrais'!$G$2:$G$1221,"&lt;&gt;")+COUNTIFS('Avaliações Trimestrais'!$B$2:$B$1221,A15,'Avaliações Trimestrais'!$C$2:$C$1221,B15,'Avaliações Trimestrais'!$H$2:$H$1221,"&lt;&gt;")+COUNTIFS('Avaliações Trimestrais'!$B$2:$B$1221,A15,'Avaliações Trimestrais'!$C$2:$C$1221,B15,'Avaliações Trimestrais'!$I$2:$I$1221,"&lt;&gt;")+COUNTIFS('Avaliações Trimestrais'!$B$2:$B$1221,A15,'Avaliações Trimestrais'!$C$2:$C$1221,B15,'Avaliações Trimestrais'!$J$2:$J$1221,"&lt;&gt;")</x:f>
        <x:v>0</x:v>
      </x:c>
      <x:c r="G15" t="n">
        <x:f>COUNTIFS('Avaliações Trimestrais'!$B$2:$B$1221,A15,'Avaliações Trimestrais'!$C$2:$C$1221,B15,'Avaliações Trimestrais'!$G$2:$G$1221,"&lt;&gt;",'Avaliações Trimestrais'!$H$2:$H$1221,"&lt;&gt;",'Avaliações Trimestrais'!$I$2:$I$1221,"&lt;&gt;",'Avaliações Trimestrais'!$J$2:$J$1221,"&lt;&gt;")</x:f>
        <x:v>0</x:v>
      </x:c>
      <x:c r="H15" s="30" t="n">
        <x:f>G15/61</x:f>
        <x:v>0</x:v>
      </x:c>
    </x:row>
    <x:row r="16">
      <x:c r="A16" t="n">
        <x:v>2029</x:v>
      </x:c>
      <x:c r="B16" t="str">
        <x:v>T3</x:v>
      </x:c>
      <x:c r="C16" s="28" t="str">
        <x:f>IF((COUNTIFS('Avaliações Trimestrais'!$B$2:$B$1221,A16,'Avaliações Trimestrais'!$C$2:$C$1221,B16,'Avaliações Trimestrais'!$G$2:$G$1221,"&lt;&gt;")+COUNTIFS('Avaliações Trimestrais'!$B$2:$B$1221,A16,'Avaliações Trimestrais'!$C$2:$C$1221,B16,'Avaliações Trimestrais'!$I$2:$I$1221,"&lt;&gt;"))=0,"",(SUMIFS('Avaliações Trimestrais'!$G$2:$G$1221,'Avaliações Trimestrais'!$B$2:$B$1221,A16,'Avaliações Trimestrais'!$C$2:$C$1221,B16)+SUMIFS('Avaliações Trimestrais'!$I$2:$I$1221,'Avaliações Trimestrais'!$B$2:$B$1221,A16,'Avaliações Trimestrais'!$C$2:$C$1221,B16))/(COUNTIFS('Avaliações Trimestrais'!$B$2:$B$1221,A16,'Avaliações Trimestrais'!$C$2:$C$1221,B16,'Avaliações Trimestrais'!$G$2:$G$1221,"&lt;&gt;")+COUNTIFS('Avaliações Trimestrais'!$B$2:$B$1221,A16,'Avaliações Trimestrais'!$C$2:$C$1221,B16,'Avaliações Trimestrais'!$I$2:$I$1221,"&lt;&gt;")))</x:f>
      </x:c>
      <x:c r="D16" s="28" t="str">
        <x:f>IF((COUNTIFS('Avaliações Trimestrais'!$B$2:$B$1221,A16,'Avaliações Trimestrais'!$C$2:$C$1221,B16,'Avaliações Trimestrais'!$H$2:$H$1221,"&lt;&gt;")+COUNTIFS('Avaliações Trimestrais'!$B$2:$B$1221,A16,'Avaliações Trimestrais'!$C$2:$C$1221,B16,'Avaliações Trimestrais'!$J$2:$J$1221,"&lt;&gt;"))=0,"",(SUMIFS('Avaliações Trimestrais'!$H$2:$H$1221,'Avaliações Trimestrais'!$B$2:$B$1221,A16,'Avaliações Trimestrais'!$C$2:$C$1221,B16)+SUMIFS('Avaliações Trimestrais'!$J$2:$J$1221,'Avaliações Trimestrais'!$B$2:$B$1221,A16,'Avaliações Trimestrais'!$C$2:$C$1221,B16))/(COUNTIFS('Avaliações Trimestrais'!$B$2:$B$1221,A16,'Avaliações Trimestrais'!$C$2:$C$1221,B16,'Avaliações Trimestrais'!$H$2:$H$1221,"&lt;&gt;")+COUNTIFS('Avaliações Trimestrais'!$B$2:$B$1221,A16,'Avaliações Trimestrais'!$C$2:$C$1221,B16,'Avaliações Trimestrais'!$J$2:$J$1221,"&lt;&gt;")))</x:f>
      </x:c>
      <x:c r="E16" s="28" t="str">
        <x:f>IF(OR(C16="",D16=""),"",D16-C16)</x:f>
      </x:c>
      <x:c r="F16" t="n">
        <x:f>COUNTIFS('Avaliações Trimestrais'!$B$2:$B$1221,A16,'Avaliações Trimestrais'!$C$2:$C$1221,B16,'Avaliações Trimestrais'!$G$2:$G$1221,"&lt;&gt;")+COUNTIFS('Avaliações Trimestrais'!$B$2:$B$1221,A16,'Avaliações Trimestrais'!$C$2:$C$1221,B16,'Avaliações Trimestrais'!$H$2:$H$1221,"&lt;&gt;")+COUNTIFS('Avaliações Trimestrais'!$B$2:$B$1221,A16,'Avaliações Trimestrais'!$C$2:$C$1221,B16,'Avaliações Trimestrais'!$I$2:$I$1221,"&lt;&gt;")+COUNTIFS('Avaliações Trimestrais'!$B$2:$B$1221,A16,'Avaliações Trimestrais'!$C$2:$C$1221,B16,'Avaliações Trimestrais'!$J$2:$J$1221,"&lt;&gt;")</x:f>
        <x:v>0</x:v>
      </x:c>
      <x:c r="G16" t="n">
        <x:f>COUNTIFS('Avaliações Trimestrais'!$B$2:$B$1221,A16,'Avaliações Trimestrais'!$C$2:$C$1221,B16,'Avaliações Trimestrais'!$G$2:$G$1221,"&lt;&gt;",'Avaliações Trimestrais'!$H$2:$H$1221,"&lt;&gt;",'Avaliações Trimestrais'!$I$2:$I$1221,"&lt;&gt;",'Avaliações Trimestrais'!$J$2:$J$1221,"&lt;&gt;")</x:f>
        <x:v>0</x:v>
      </x:c>
      <x:c r="H16" s="30" t="n">
        <x:f>G16/61</x:f>
        <x:v>0</x:v>
      </x:c>
    </x:row>
    <x:row r="17">
      <x:c r="A17" t="n">
        <x:v>2029</x:v>
      </x:c>
      <x:c r="B17" t="str">
        <x:v>T4</x:v>
      </x:c>
      <x:c r="C17" s="28" t="str">
        <x:f>IF((COUNTIFS('Avaliações Trimestrais'!$B$2:$B$1221,A17,'Avaliações Trimestrais'!$C$2:$C$1221,B17,'Avaliações Trimestrais'!$G$2:$G$1221,"&lt;&gt;")+COUNTIFS('Avaliações Trimestrais'!$B$2:$B$1221,A17,'Avaliações Trimestrais'!$C$2:$C$1221,B17,'Avaliações Trimestrais'!$I$2:$I$1221,"&lt;&gt;"))=0,"",(SUMIFS('Avaliações Trimestrais'!$G$2:$G$1221,'Avaliações Trimestrais'!$B$2:$B$1221,A17,'Avaliações Trimestrais'!$C$2:$C$1221,B17)+SUMIFS('Avaliações Trimestrais'!$I$2:$I$1221,'Avaliações Trimestrais'!$B$2:$B$1221,A17,'Avaliações Trimestrais'!$C$2:$C$1221,B17))/(COUNTIFS('Avaliações Trimestrais'!$B$2:$B$1221,A17,'Avaliações Trimestrais'!$C$2:$C$1221,B17,'Avaliações Trimestrais'!$G$2:$G$1221,"&lt;&gt;")+COUNTIFS('Avaliações Trimestrais'!$B$2:$B$1221,A17,'Avaliações Trimestrais'!$C$2:$C$1221,B17,'Avaliações Trimestrais'!$I$2:$I$1221,"&lt;&gt;")))</x:f>
      </x:c>
      <x:c r="D17" s="28" t="str">
        <x:f>IF((COUNTIFS('Avaliações Trimestrais'!$B$2:$B$1221,A17,'Avaliações Trimestrais'!$C$2:$C$1221,B17,'Avaliações Trimestrais'!$H$2:$H$1221,"&lt;&gt;")+COUNTIFS('Avaliações Trimestrais'!$B$2:$B$1221,A17,'Avaliações Trimestrais'!$C$2:$C$1221,B17,'Avaliações Trimestrais'!$J$2:$J$1221,"&lt;&gt;"))=0,"",(SUMIFS('Avaliações Trimestrais'!$H$2:$H$1221,'Avaliações Trimestrais'!$B$2:$B$1221,A17,'Avaliações Trimestrais'!$C$2:$C$1221,B17)+SUMIFS('Avaliações Trimestrais'!$J$2:$J$1221,'Avaliações Trimestrais'!$B$2:$B$1221,A17,'Avaliações Trimestrais'!$C$2:$C$1221,B17))/(COUNTIFS('Avaliações Trimestrais'!$B$2:$B$1221,A17,'Avaliações Trimestrais'!$C$2:$C$1221,B17,'Avaliações Trimestrais'!$H$2:$H$1221,"&lt;&gt;")+COUNTIFS('Avaliações Trimestrais'!$B$2:$B$1221,A17,'Avaliações Trimestrais'!$C$2:$C$1221,B17,'Avaliações Trimestrais'!$J$2:$J$1221,"&lt;&gt;")))</x:f>
      </x:c>
      <x:c r="E17" s="28" t="str">
        <x:f>IF(OR(C17="",D17=""),"",D17-C17)</x:f>
      </x:c>
      <x:c r="F17" t="n">
        <x:f>COUNTIFS('Avaliações Trimestrais'!$B$2:$B$1221,A17,'Avaliações Trimestrais'!$C$2:$C$1221,B17,'Avaliações Trimestrais'!$G$2:$G$1221,"&lt;&gt;")+COUNTIFS('Avaliações Trimestrais'!$B$2:$B$1221,A17,'Avaliações Trimestrais'!$C$2:$C$1221,B17,'Avaliações Trimestrais'!$H$2:$H$1221,"&lt;&gt;")+COUNTIFS('Avaliações Trimestrais'!$B$2:$B$1221,A17,'Avaliações Trimestrais'!$C$2:$C$1221,B17,'Avaliações Trimestrais'!$I$2:$I$1221,"&lt;&gt;")+COUNTIFS('Avaliações Trimestrais'!$B$2:$B$1221,A17,'Avaliações Trimestrais'!$C$2:$C$1221,B17,'Avaliações Trimestrais'!$J$2:$J$1221,"&lt;&gt;")</x:f>
        <x:v>0</x:v>
      </x:c>
      <x:c r="G17" t="n">
        <x:f>COUNTIFS('Avaliações Trimestrais'!$B$2:$B$1221,A17,'Avaliações Trimestrais'!$C$2:$C$1221,B17,'Avaliações Trimestrais'!$G$2:$G$1221,"&lt;&gt;",'Avaliações Trimestrais'!$H$2:$H$1221,"&lt;&gt;",'Avaliações Trimestrais'!$I$2:$I$1221,"&lt;&gt;",'Avaliações Trimestrais'!$J$2:$J$1221,"&lt;&gt;")</x:f>
        <x:v>0</x:v>
      </x:c>
      <x:c r="H17" s="30" t="n">
        <x:f>G17/61</x:f>
        <x:v>0</x:v>
      </x:c>
    </x:row>
    <x:row r="18">
      <x:c r="A18" t="n">
        <x:v>2030</x:v>
      </x:c>
      <x:c r="B18" t="str">
        <x:v>T1</x:v>
      </x:c>
      <x:c r="C18" s="28" t="str">
        <x:f>IF((COUNTIFS('Avaliações Trimestrais'!$B$2:$B$1221,A18,'Avaliações Trimestrais'!$C$2:$C$1221,B18,'Avaliações Trimestrais'!$G$2:$G$1221,"&lt;&gt;")+COUNTIFS('Avaliações Trimestrais'!$B$2:$B$1221,A18,'Avaliações Trimestrais'!$C$2:$C$1221,B18,'Avaliações Trimestrais'!$I$2:$I$1221,"&lt;&gt;"))=0,"",(SUMIFS('Avaliações Trimestrais'!$G$2:$G$1221,'Avaliações Trimestrais'!$B$2:$B$1221,A18,'Avaliações Trimestrais'!$C$2:$C$1221,B18)+SUMIFS('Avaliações Trimestrais'!$I$2:$I$1221,'Avaliações Trimestrais'!$B$2:$B$1221,A18,'Avaliações Trimestrais'!$C$2:$C$1221,B18))/(COUNTIFS('Avaliações Trimestrais'!$B$2:$B$1221,A18,'Avaliações Trimestrais'!$C$2:$C$1221,B18,'Avaliações Trimestrais'!$G$2:$G$1221,"&lt;&gt;")+COUNTIFS('Avaliações Trimestrais'!$B$2:$B$1221,A18,'Avaliações Trimestrais'!$C$2:$C$1221,B18,'Avaliações Trimestrais'!$I$2:$I$1221,"&lt;&gt;")))</x:f>
      </x:c>
      <x:c r="D18" s="28" t="str">
        <x:f>IF((COUNTIFS('Avaliações Trimestrais'!$B$2:$B$1221,A18,'Avaliações Trimestrais'!$C$2:$C$1221,B18,'Avaliações Trimestrais'!$H$2:$H$1221,"&lt;&gt;")+COUNTIFS('Avaliações Trimestrais'!$B$2:$B$1221,A18,'Avaliações Trimestrais'!$C$2:$C$1221,B18,'Avaliações Trimestrais'!$J$2:$J$1221,"&lt;&gt;"))=0,"",(SUMIFS('Avaliações Trimestrais'!$H$2:$H$1221,'Avaliações Trimestrais'!$B$2:$B$1221,A18,'Avaliações Trimestrais'!$C$2:$C$1221,B18)+SUMIFS('Avaliações Trimestrais'!$J$2:$J$1221,'Avaliações Trimestrais'!$B$2:$B$1221,A18,'Avaliações Trimestrais'!$C$2:$C$1221,B18))/(COUNTIFS('Avaliações Trimestrais'!$B$2:$B$1221,A18,'Avaliações Trimestrais'!$C$2:$C$1221,B18,'Avaliações Trimestrais'!$H$2:$H$1221,"&lt;&gt;")+COUNTIFS('Avaliações Trimestrais'!$B$2:$B$1221,A18,'Avaliações Trimestrais'!$C$2:$C$1221,B18,'Avaliações Trimestrais'!$J$2:$J$1221,"&lt;&gt;")))</x:f>
      </x:c>
      <x:c r="E18" s="28" t="str">
        <x:f>IF(OR(C18="",D18=""),"",D18-C18)</x:f>
      </x:c>
      <x:c r="F18" t="n">
        <x:f>COUNTIFS('Avaliações Trimestrais'!$B$2:$B$1221,A18,'Avaliações Trimestrais'!$C$2:$C$1221,B18,'Avaliações Trimestrais'!$G$2:$G$1221,"&lt;&gt;")+COUNTIFS('Avaliações Trimestrais'!$B$2:$B$1221,A18,'Avaliações Trimestrais'!$C$2:$C$1221,B18,'Avaliações Trimestrais'!$H$2:$H$1221,"&lt;&gt;")+COUNTIFS('Avaliações Trimestrais'!$B$2:$B$1221,A18,'Avaliações Trimestrais'!$C$2:$C$1221,B18,'Avaliações Trimestrais'!$I$2:$I$1221,"&lt;&gt;")+COUNTIFS('Avaliações Trimestrais'!$B$2:$B$1221,A18,'Avaliações Trimestrais'!$C$2:$C$1221,B18,'Avaliações Trimestrais'!$J$2:$J$1221,"&lt;&gt;")</x:f>
        <x:v>0</x:v>
      </x:c>
      <x:c r="G18" t="n">
        <x:f>COUNTIFS('Avaliações Trimestrais'!$B$2:$B$1221,A18,'Avaliações Trimestrais'!$C$2:$C$1221,B18,'Avaliações Trimestrais'!$G$2:$G$1221,"&lt;&gt;",'Avaliações Trimestrais'!$H$2:$H$1221,"&lt;&gt;",'Avaliações Trimestrais'!$I$2:$I$1221,"&lt;&gt;",'Avaliações Trimestrais'!$J$2:$J$1221,"&lt;&gt;")</x:f>
        <x:v>0</x:v>
      </x:c>
      <x:c r="H18" s="30" t="n">
        <x:f>G18/61</x:f>
        <x:v>0</x:v>
      </x:c>
    </x:row>
    <x:row r="19">
      <x:c r="A19" t="n">
        <x:v>2030</x:v>
      </x:c>
      <x:c r="B19" t="str">
        <x:v>T2</x:v>
      </x:c>
      <x:c r="C19" s="28" t="str">
        <x:f>IF((COUNTIFS('Avaliações Trimestrais'!$B$2:$B$1221,A19,'Avaliações Trimestrais'!$C$2:$C$1221,B19,'Avaliações Trimestrais'!$G$2:$G$1221,"&lt;&gt;")+COUNTIFS('Avaliações Trimestrais'!$B$2:$B$1221,A19,'Avaliações Trimestrais'!$C$2:$C$1221,B19,'Avaliações Trimestrais'!$I$2:$I$1221,"&lt;&gt;"))=0,"",(SUMIFS('Avaliações Trimestrais'!$G$2:$G$1221,'Avaliações Trimestrais'!$B$2:$B$1221,A19,'Avaliações Trimestrais'!$C$2:$C$1221,B19)+SUMIFS('Avaliações Trimestrais'!$I$2:$I$1221,'Avaliações Trimestrais'!$B$2:$B$1221,A19,'Avaliações Trimestrais'!$C$2:$C$1221,B19))/(COUNTIFS('Avaliações Trimestrais'!$B$2:$B$1221,A19,'Avaliações Trimestrais'!$C$2:$C$1221,B19,'Avaliações Trimestrais'!$G$2:$G$1221,"&lt;&gt;")+COUNTIFS('Avaliações Trimestrais'!$B$2:$B$1221,A19,'Avaliações Trimestrais'!$C$2:$C$1221,B19,'Avaliações Trimestrais'!$I$2:$I$1221,"&lt;&gt;")))</x:f>
      </x:c>
      <x:c r="D19" s="28" t="str">
        <x:f>IF((COUNTIFS('Avaliações Trimestrais'!$B$2:$B$1221,A19,'Avaliações Trimestrais'!$C$2:$C$1221,B19,'Avaliações Trimestrais'!$H$2:$H$1221,"&lt;&gt;")+COUNTIFS('Avaliações Trimestrais'!$B$2:$B$1221,A19,'Avaliações Trimestrais'!$C$2:$C$1221,B19,'Avaliações Trimestrais'!$J$2:$J$1221,"&lt;&gt;"))=0,"",(SUMIFS('Avaliações Trimestrais'!$H$2:$H$1221,'Avaliações Trimestrais'!$B$2:$B$1221,A19,'Avaliações Trimestrais'!$C$2:$C$1221,B19)+SUMIFS('Avaliações Trimestrais'!$J$2:$J$1221,'Avaliações Trimestrais'!$B$2:$B$1221,A19,'Avaliações Trimestrais'!$C$2:$C$1221,B19))/(COUNTIFS('Avaliações Trimestrais'!$B$2:$B$1221,A19,'Avaliações Trimestrais'!$C$2:$C$1221,B19,'Avaliações Trimestrais'!$H$2:$H$1221,"&lt;&gt;")+COUNTIFS('Avaliações Trimestrais'!$B$2:$B$1221,A19,'Avaliações Trimestrais'!$C$2:$C$1221,B19,'Avaliações Trimestrais'!$J$2:$J$1221,"&lt;&gt;")))</x:f>
      </x:c>
      <x:c r="E19" s="28" t="str">
        <x:f>IF(OR(C19="",D19=""),"",D19-C19)</x:f>
      </x:c>
      <x:c r="F19" t="n">
        <x:f>COUNTIFS('Avaliações Trimestrais'!$B$2:$B$1221,A19,'Avaliações Trimestrais'!$C$2:$C$1221,B19,'Avaliações Trimestrais'!$G$2:$G$1221,"&lt;&gt;")+COUNTIFS('Avaliações Trimestrais'!$B$2:$B$1221,A19,'Avaliações Trimestrais'!$C$2:$C$1221,B19,'Avaliações Trimestrais'!$H$2:$H$1221,"&lt;&gt;")+COUNTIFS('Avaliações Trimestrais'!$B$2:$B$1221,A19,'Avaliações Trimestrais'!$C$2:$C$1221,B19,'Avaliações Trimestrais'!$I$2:$I$1221,"&lt;&gt;")+COUNTIFS('Avaliações Trimestrais'!$B$2:$B$1221,A19,'Avaliações Trimestrais'!$C$2:$C$1221,B19,'Avaliações Trimestrais'!$J$2:$J$1221,"&lt;&gt;")</x:f>
        <x:v>0</x:v>
      </x:c>
      <x:c r="G19" t="n">
        <x:f>COUNTIFS('Avaliações Trimestrais'!$B$2:$B$1221,A19,'Avaliações Trimestrais'!$C$2:$C$1221,B19,'Avaliações Trimestrais'!$G$2:$G$1221,"&lt;&gt;",'Avaliações Trimestrais'!$H$2:$H$1221,"&lt;&gt;",'Avaliações Trimestrais'!$I$2:$I$1221,"&lt;&gt;",'Avaliações Trimestrais'!$J$2:$J$1221,"&lt;&gt;")</x:f>
        <x:v>0</x:v>
      </x:c>
      <x:c r="H19" s="30" t="n">
        <x:f>G19/61</x:f>
        <x:v>0</x:v>
      </x:c>
    </x:row>
    <x:row r="20">
      <x:c r="A20" t="n">
        <x:v>2030</x:v>
      </x:c>
      <x:c r="B20" t="str">
        <x:v>T3</x:v>
      </x:c>
      <x:c r="C20" s="28" t="str">
        <x:f>IF((COUNTIFS('Avaliações Trimestrais'!$B$2:$B$1221,A20,'Avaliações Trimestrais'!$C$2:$C$1221,B20,'Avaliações Trimestrais'!$G$2:$G$1221,"&lt;&gt;")+COUNTIFS('Avaliações Trimestrais'!$B$2:$B$1221,A20,'Avaliações Trimestrais'!$C$2:$C$1221,B20,'Avaliações Trimestrais'!$I$2:$I$1221,"&lt;&gt;"))=0,"",(SUMIFS('Avaliações Trimestrais'!$G$2:$G$1221,'Avaliações Trimestrais'!$B$2:$B$1221,A20,'Avaliações Trimestrais'!$C$2:$C$1221,B20)+SUMIFS('Avaliações Trimestrais'!$I$2:$I$1221,'Avaliações Trimestrais'!$B$2:$B$1221,A20,'Avaliações Trimestrais'!$C$2:$C$1221,B20))/(COUNTIFS('Avaliações Trimestrais'!$B$2:$B$1221,A20,'Avaliações Trimestrais'!$C$2:$C$1221,B20,'Avaliações Trimestrais'!$G$2:$G$1221,"&lt;&gt;")+COUNTIFS('Avaliações Trimestrais'!$B$2:$B$1221,A20,'Avaliações Trimestrais'!$C$2:$C$1221,B20,'Avaliações Trimestrais'!$I$2:$I$1221,"&lt;&gt;")))</x:f>
      </x:c>
      <x:c r="D20" s="28" t="str">
        <x:f>IF((COUNTIFS('Avaliações Trimestrais'!$B$2:$B$1221,A20,'Avaliações Trimestrais'!$C$2:$C$1221,B20,'Avaliações Trimestrais'!$H$2:$H$1221,"&lt;&gt;")+COUNTIFS('Avaliações Trimestrais'!$B$2:$B$1221,A20,'Avaliações Trimestrais'!$C$2:$C$1221,B20,'Avaliações Trimestrais'!$J$2:$J$1221,"&lt;&gt;"))=0,"",(SUMIFS('Avaliações Trimestrais'!$H$2:$H$1221,'Avaliações Trimestrais'!$B$2:$B$1221,A20,'Avaliações Trimestrais'!$C$2:$C$1221,B20)+SUMIFS('Avaliações Trimestrais'!$J$2:$J$1221,'Avaliações Trimestrais'!$B$2:$B$1221,A20,'Avaliações Trimestrais'!$C$2:$C$1221,B20))/(COUNTIFS('Avaliações Trimestrais'!$B$2:$B$1221,A20,'Avaliações Trimestrais'!$C$2:$C$1221,B20,'Avaliações Trimestrais'!$H$2:$H$1221,"&lt;&gt;")+COUNTIFS('Avaliações Trimestrais'!$B$2:$B$1221,A20,'Avaliações Trimestrais'!$C$2:$C$1221,B20,'Avaliações Trimestrais'!$J$2:$J$1221,"&lt;&gt;")))</x:f>
      </x:c>
      <x:c r="E20" s="28" t="str">
        <x:f>IF(OR(C20="",D20=""),"",D20-C20)</x:f>
      </x:c>
      <x:c r="F20" t="n">
        <x:f>COUNTIFS('Avaliações Trimestrais'!$B$2:$B$1221,A20,'Avaliações Trimestrais'!$C$2:$C$1221,B20,'Avaliações Trimestrais'!$G$2:$G$1221,"&lt;&gt;")+COUNTIFS('Avaliações Trimestrais'!$B$2:$B$1221,A20,'Avaliações Trimestrais'!$C$2:$C$1221,B20,'Avaliações Trimestrais'!$H$2:$H$1221,"&lt;&gt;")+COUNTIFS('Avaliações Trimestrais'!$B$2:$B$1221,A20,'Avaliações Trimestrais'!$C$2:$C$1221,B20,'Avaliações Trimestrais'!$I$2:$I$1221,"&lt;&gt;")+COUNTIFS('Avaliações Trimestrais'!$B$2:$B$1221,A20,'Avaliações Trimestrais'!$C$2:$C$1221,B20,'Avaliações Trimestrais'!$J$2:$J$1221,"&lt;&gt;")</x:f>
        <x:v>0</x:v>
      </x:c>
      <x:c r="G20" t="n">
        <x:f>COUNTIFS('Avaliações Trimestrais'!$B$2:$B$1221,A20,'Avaliações Trimestrais'!$C$2:$C$1221,B20,'Avaliações Trimestrais'!$G$2:$G$1221,"&lt;&gt;",'Avaliações Trimestrais'!$H$2:$H$1221,"&lt;&gt;",'Avaliações Trimestrais'!$I$2:$I$1221,"&lt;&gt;",'Avaliações Trimestrais'!$J$2:$J$1221,"&lt;&gt;")</x:f>
        <x:v>0</x:v>
      </x:c>
      <x:c r="H20" s="30" t="n">
        <x:f>G20/61</x:f>
        <x:v>0</x:v>
      </x:c>
    </x:row>
    <x:row r="21">
      <x:c r="A21" t="n">
        <x:v>2030</x:v>
      </x:c>
      <x:c r="B21" t="str">
        <x:v>T4</x:v>
      </x:c>
      <x:c r="C21" s="28" t="str">
        <x:f>IF((COUNTIFS('Avaliações Trimestrais'!$B$2:$B$1221,A21,'Avaliações Trimestrais'!$C$2:$C$1221,B21,'Avaliações Trimestrais'!$G$2:$G$1221,"&lt;&gt;")+COUNTIFS('Avaliações Trimestrais'!$B$2:$B$1221,A21,'Avaliações Trimestrais'!$C$2:$C$1221,B21,'Avaliações Trimestrais'!$I$2:$I$1221,"&lt;&gt;"))=0,"",(SUMIFS('Avaliações Trimestrais'!$G$2:$G$1221,'Avaliações Trimestrais'!$B$2:$B$1221,A21,'Avaliações Trimestrais'!$C$2:$C$1221,B21)+SUMIFS('Avaliações Trimestrais'!$I$2:$I$1221,'Avaliações Trimestrais'!$B$2:$B$1221,A21,'Avaliações Trimestrais'!$C$2:$C$1221,B21))/(COUNTIFS('Avaliações Trimestrais'!$B$2:$B$1221,A21,'Avaliações Trimestrais'!$C$2:$C$1221,B21,'Avaliações Trimestrais'!$G$2:$G$1221,"&lt;&gt;")+COUNTIFS('Avaliações Trimestrais'!$B$2:$B$1221,A21,'Avaliações Trimestrais'!$C$2:$C$1221,B21,'Avaliações Trimestrais'!$I$2:$I$1221,"&lt;&gt;")))</x:f>
      </x:c>
      <x:c r="D21" s="28" t="str">
        <x:f>IF((COUNTIFS('Avaliações Trimestrais'!$B$2:$B$1221,A21,'Avaliações Trimestrais'!$C$2:$C$1221,B21,'Avaliações Trimestrais'!$H$2:$H$1221,"&lt;&gt;")+COUNTIFS('Avaliações Trimestrais'!$B$2:$B$1221,A21,'Avaliações Trimestrais'!$C$2:$C$1221,B21,'Avaliações Trimestrais'!$J$2:$J$1221,"&lt;&gt;"))=0,"",(SUMIFS('Avaliações Trimestrais'!$H$2:$H$1221,'Avaliações Trimestrais'!$B$2:$B$1221,A21,'Avaliações Trimestrais'!$C$2:$C$1221,B21)+SUMIFS('Avaliações Trimestrais'!$J$2:$J$1221,'Avaliações Trimestrais'!$B$2:$B$1221,A21,'Avaliações Trimestrais'!$C$2:$C$1221,B21))/(COUNTIFS('Avaliações Trimestrais'!$B$2:$B$1221,A21,'Avaliações Trimestrais'!$C$2:$C$1221,B21,'Avaliações Trimestrais'!$H$2:$H$1221,"&lt;&gt;")+COUNTIFS('Avaliações Trimestrais'!$B$2:$B$1221,A21,'Avaliações Trimestrais'!$C$2:$C$1221,B21,'Avaliações Trimestrais'!$J$2:$J$1221,"&lt;&gt;")))</x:f>
      </x:c>
      <x:c r="E21" s="28" t="str">
        <x:f>IF(OR(C21="",D21=""),"",D21-C21)</x:f>
      </x:c>
      <x:c r="F21" t="n">
        <x:f>COUNTIFS('Avaliações Trimestrais'!$B$2:$B$1221,A21,'Avaliações Trimestrais'!$C$2:$C$1221,B21,'Avaliações Trimestrais'!$G$2:$G$1221,"&lt;&gt;")+COUNTIFS('Avaliações Trimestrais'!$B$2:$B$1221,A21,'Avaliações Trimestrais'!$C$2:$C$1221,B21,'Avaliações Trimestrais'!$H$2:$H$1221,"&lt;&gt;")+COUNTIFS('Avaliações Trimestrais'!$B$2:$B$1221,A21,'Avaliações Trimestrais'!$C$2:$C$1221,B21,'Avaliações Trimestrais'!$I$2:$I$1221,"&lt;&gt;")+COUNTIFS('Avaliações Trimestrais'!$B$2:$B$1221,A21,'Avaliações Trimestrais'!$C$2:$C$1221,B21,'Avaliações Trimestrais'!$J$2:$J$1221,"&lt;&gt;")</x:f>
        <x:v>0</x:v>
      </x:c>
      <x:c r="G21" t="n">
        <x:f>COUNTIFS('Avaliações Trimestrais'!$B$2:$B$1221,A21,'Avaliações Trimestrais'!$C$2:$C$1221,B21,'Avaliações Trimestrais'!$G$2:$G$1221,"&lt;&gt;",'Avaliações Trimestrais'!$H$2:$H$1221,"&lt;&gt;",'Avaliações Trimestrais'!$I$2:$I$1221,"&lt;&gt;",'Avaliações Trimestrais'!$J$2:$J$1221,"&lt;&gt;")</x:f>
        <x:v>0</x:v>
      </x:c>
      <x:c r="H21" s="30" t="n">
        <x:f>G21/61</x:f>
        <x:v>0</x:v>
      </x:c>
    </x:row>
  </x:sheetData>
  <x:conditionalFormatting sqref="C2:C21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D2:D21">
    <x:cfRule type="colorScale" priority="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E2:E21">
    <x:cfRule type="dataBar" priority="5">
      <x:dataBar>
        <x:cfvo type="min"/>
        <x:cfvo type="max"/>
        <x:color rgb="FF3B82F6"/>
      </x:dataBar>
      <x:extLst>
        <x:ext xmlns:x14="http://schemas.microsoft.com/office/spreadsheetml/2009/9/main" uri="{B025F937-C7B1-47D3-B67F-A62EFF666E3E}">
          <x14:id>{E3B0A880-C35C-39F5-A6E7-E65377AD780B}</x14:id>
        </x:ext>
      </x:extLst>
    </x:cfRule>
  </x:conditionalFormatting>
  <x:conditionalFormatting sqref="H2:H21">
    <x:cfRule type="dataBar" priority="6">
      <x:dataBar>
        <x:cfvo type="min"/>
        <x:cfvo type="max"/>
        <x:color rgb="FF22C55E"/>
      </x:dataBar>
      <x:extLst>
        <x:ext xmlns:x14="http://schemas.microsoft.com/office/spreadsheetml/2009/9/main" uri="{B025F937-C7B1-47D3-B67F-A62EFF666E3E}">
          <x14:id>{E787E85F-24E4-4EC2-4630-2B2C459BE5AA}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d319b9b198b74bf3"/>
  <x:tableParts count="1">
    <x:tablePart xmlns:r="http://schemas.openxmlformats.org/officeDocument/2006/relationships" r:id="R50969e2f86d54b2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E3B0A880-C35C-39F5-A6E7-E65377AD780B}">
            <x14:dataBar gradient="1">
              <x14:cfvo type="min"/>
              <x14:cfvo type="max"/>
              <x14:fillColor rgb="FF3B82F6"/>
            </x14:dataBar>
          </x14:cfRule>
          <xm:sqref>E2:E21</xm:sqref>
        </x14:conditionalFormatting>
        <x14:conditionalFormatting>
          <x14:cfRule type="dataBar" priority="6" id="{E787E85F-24E4-4EC2-4630-2B2C459BE5AA}">
            <x14:dataBar gradient="1">
              <x14:cfvo type="min"/>
              <x14:cfvo type="max"/>
              <x14:fillColor rgb="FF22C55E"/>
            </x14:dataBar>
          </x14:cfRule>
          <xm:sqref>H2:H21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35" t="str">
        <x:v>O Caminho para o Hexa 2030 — Painel de Avaliações</x:v>
      </x:c>
      <x:c r="B1" s="35"/>
      <x:c r="C1" s="35"/>
      <x:c r="D1" s="35"/>
      <x:c r="E1" s="35"/>
      <x:c r="F1" s="35"/>
      <x:c r="G1" s="35"/>
      <x:c r="H1" s="35"/>
    </x:row>
    <x:row r="2">
      <x:c r="A2" s="35"/>
      <x:c r="B2" s="35"/>
      <x:c r="C2" s="35"/>
      <x:c r="D2" s="35"/>
      <x:c r="E2" s="35"/>
      <x:c r="F2" s="35"/>
      <x:c r="G2" s="35"/>
      <x:c r="H2" s="35"/>
    </x:row>
    <x:row r="4">
      <x:c r="A4" s="5" t="str">
        <x:v>Indicador</x:v>
      </x:c>
      <x:c r="B4" s="5" t="str">
        <x:v>Valor</x:v>
      </x:c>
      <x:c r="D4" s="20" t="str">
        <x:v>Como usar</x:v>
      </x:c>
      <x:c r="E4" s="20"/>
      <x:c r="F4" s="20"/>
      <x:c r="G4" s="20"/>
      <x:c r="H4" s="20"/>
    </x:row>
    <x:row r="5">
      <x:c r="A5" s="44" t="str">
        <x:v>Atletas na base</x:v>
      </x:c>
      <x:c r="B5" s="12" t="n">
        <x:v>61</x:v>
      </x:c>
      <x:c r="D5" s="48" t="str">
        <x:v>1. Use a aba “Atletas” como ficha-mestre da base.</x:v>
      </x:c>
      <x:c r="E5" s="48"/>
      <x:c r="F5" s="48"/>
      <x:c r="G5" s="48"/>
      <x:c r="H5" s="48"/>
    </x:row>
    <x:row r="6">
      <x:c r="A6" s="44" t="str">
        <x:v>Período preparado</x:v>
      </x:c>
      <x:c r="B6" s="12" t="str">
        <x:v>2026–2030</x:v>
      </x:c>
      <x:c r="D6" s="54" t="str">
        <x:v>2. Em “Avaliações Trimestrais”, Vini e Beto atribuem notas de capacidade atual e potencial.</x:v>
      </x:c>
      <x:c r="E6" s="54"/>
      <x:c r="F6" s="54"/>
      <x:c r="G6" s="54"/>
      <x:c r="H6" s="54"/>
    </x:row>
    <x:row r="7">
      <x:c r="A7" s="44" t="str">
        <x:v>Trimestres por atleta</x:v>
      </x:c>
      <x:c r="B7" s="12" t="n">
        <x:v>20</x:v>
      </x:c>
      <x:c r="D7" s="48" t="str">
        <x:v>3. Registre observações individuais e a síntese da conversa do trimestre.</x:v>
      </x:c>
      <x:c r="E7" s="48"/>
      <x:c r="F7" s="48"/>
      <x:c r="G7" s="48"/>
      <x:c r="H7" s="48"/>
    </x:row>
    <x:row r="8">
      <x:c r="A8" s="44" t="str">
        <x:v>Linhas de avaliação</x:v>
      </x:c>
      <x:c r="B8" s="12" t="n">
        <x:v>1220</x:v>
      </x:c>
      <x:c r="D8" s="54" t="str">
        <x:v>4. Médias, margem de evolução e variação da capacidade atual são calculadas automaticamente.</x:v>
      </x:c>
      <x:c r="E8" s="54"/>
      <x:c r="F8" s="54"/>
      <x:c r="G8" s="54"/>
      <x:c r="H8" s="54"/>
    </x:row>
    <x:row r="9">
      <x:c r="A9" s="44" t="str">
        <x:v>Escala de notas</x:v>
      </x:c>
      <x:c r="B9" s="12" t="str">
        <x:v>0 a 10, em passos de 0,5</x:v>
      </x:c>
      <x:c r="D9" s="48" t="str">
        <x:v>5. A aba “Resumo Trimestral” consolida capacidade atual, potencial e cobertura.</x:v>
      </x:c>
      <x:c r="E9" s="48"/>
      <x:c r="F9" s="48"/>
      <x:c r="G9" s="48"/>
      <x:c r="H9" s="48"/>
    </x:row>
    <x:row r="12">
      <x:c r="A12" s="20" t="str">
        <x:v>Critérios sugeridos</x:v>
      </x:c>
      <x:c r="B12" s="20"/>
      <x:c r="C12" s="20"/>
      <x:c r="D12" s="20"/>
      <x:c r="E12" s="20"/>
      <x:c r="F12" s="20"/>
      <x:c r="G12" s="20"/>
      <x:c r="H12" s="20"/>
    </x:row>
    <x:row r="13">
      <x:c r="A13" s="69" t="str">
        <x:v>Capacidade atual</x:v>
      </x:c>
      <x:c r="B13" s="70" t="str">
        <x:v>Nível que o atleta demonstra no trimestre: desempenho técnico, regularidade, execução tática, ritmo competitivo e prontidão para atuar hoje.</x:v>
      </x:c>
      <x:c r="C13" s="70"/>
      <x:c r="D13" s="70"/>
      <x:c r="E13" s="70"/>
      <x:c r="F13" s="70"/>
      <x:c r="G13" s="70"/>
      <x:c r="H13" s="70"/>
    </x:row>
    <x:row r="14">
      <x:c r="A14" s="69" t="str">
        <x:v>Potencial</x:v>
      </x:c>
      <x:c r="B14" s="70" t="str">
        <x:v>Teto projetado considerando idade, evolução técnica, condição física, mentalidade, adaptação tática e margem de desenvolvimento.</x:v>
      </x:c>
      <x:c r="C14" s="70"/>
      <x:c r="D14" s="70"/>
      <x:c r="E14" s="70"/>
      <x:c r="F14" s="70"/>
      <x:c r="G14" s="70"/>
      <x:c r="H14" s="70"/>
    </x:row>
    <x:row r="15">
      <x:c r="A15" s="69" t="str">
        <x:v>Margem de evolução</x:v>
      </x:c>
      <x:c r="B15" s="70" t="str">
        <x:v>Diferença entre potencial médio e capacidade atual média. Indica quanto do teto projetado ainda pode ser convertido em desempenho.</x:v>
      </x:c>
      <x:c r="C15" s="70"/>
      <x:c r="D15" s="70"/>
      <x:c r="E15" s="70"/>
      <x:c r="F15" s="70"/>
      <x:c r="G15" s="70"/>
      <x:c r="H15" s="70"/>
    </x:row>
    <x:row r="16">
      <x:c r="A16" s="69" t="str">
        <x:v>Variação trimestral</x:v>
      </x:c>
      <x:c r="B16" s="70" t="str">
        <x:v>Mudança da capacidade atual média em relação ao trimestre anterior do mesmo jogador.</x:v>
      </x:c>
      <x:c r="C16" s="70"/>
      <x:c r="D16" s="70"/>
      <x:c r="E16" s="70"/>
      <x:c r="F16" s="70"/>
      <x:c r="G16" s="70"/>
      <x:c r="H16" s="70"/>
    </x:row>
    <x:row r="17">
      <x:c r="A17" s="69" t="str">
        <x:v>Síntese</x:v>
      </x:c>
      <x:c r="B17" s="70" t="str">
        <x:v>Registro do consenso, das divergências entre Vini e Beto e dos pontos que devem ser observados no trimestre seguinte.</x:v>
      </x:c>
      <x:c r="C17" s="70"/>
      <x:c r="D17" s="70"/>
      <x:c r="E17" s="70"/>
      <x:c r="F17" s="70"/>
      <x:c r="G17" s="70"/>
      <x:c r="H17" s="70"/>
    </x:row>
  </x:sheetData>
  <x:mergeCells>
    <x:mergeCell ref="A1:H2"/>
    <x:mergeCell ref="D4:H4"/>
    <x:mergeCell ref="D5:H5"/>
    <x:mergeCell ref="D6:H6"/>
    <x:mergeCell ref="D7:H7"/>
    <x:mergeCell ref="D8:H8"/>
    <x:mergeCell ref="D9:H9"/>
    <x:mergeCell ref="A12:H12"/>
    <x:mergeCell ref="B13:H13"/>
    <x:mergeCell ref="B14:H14"/>
    <x:mergeCell ref="B15:H15"/>
    <x:mergeCell ref="B16:H16"/>
    <x:mergeCell ref="B17:H17"/>
  </x:mergeCells>
  <x:pageMargins left="0.7" right="0.7" top="0.75" bottom="0.75" header="0.3" footer="0.3"/>
</x:worksheet>
</file>